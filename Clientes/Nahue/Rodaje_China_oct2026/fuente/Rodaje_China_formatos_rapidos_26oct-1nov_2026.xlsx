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DAJE CHINA" sheetId="1" r:id="rId5"/>
    <sheet state="visible" name="FORMATOS (refe Nico)" sheetId="2" r:id="rId6"/>
    <sheet state="visible" name="INSIGHTS" sheetId="3" r:id="rId7"/>
    <sheet state="visible" name="DESCARTADAS" sheetId="4" r:id="rId8"/>
    <sheet state="visible" name="LISTAS" sheetId="5" r:id="rId9"/>
  </sheets>
  <definedNames/>
  <calcPr/>
</workbook>
</file>

<file path=xl/sharedStrings.xml><?xml version="1.0" encoding="utf-8"?>
<sst xmlns="http://schemas.openxmlformats.org/spreadsheetml/2006/main" count="1316" uniqueCount="816">
  <si>
    <t>PIEZAS QUE SE PROPUSIERON Y SE SACARON · por qué</t>
  </si>
  <si>
    <t>FORMATOS RÁPIDOS DE NICO LORENZÓN · mecánica para copiar, nunca su contenido · datos del radar (x mediana = views sobre la mediana de sus reels no fijados del trimestre)</t>
  </si>
  <si>
    <t>RODAJE CHINA · FORMATOS RÁPIDOS · Nahue + filmmaker · 20 a 45 segundos · patrón de interrupción o pregunta directa, con la mecánica de Nico Lorenzón y el contenido de BM</t>
  </si>
  <si>
    <t>INSIGHTS · de dónde sale cada pieza · calls de venta del 19 al 23-oct, compradores 9-sep al 9-oct, FM ADS · vetado: co-decisor, jubilados, Álvaro</t>
  </si>
  <si>
    <t>Pieza</t>
  </si>
  <si>
    <t>Motivo</t>
  </si>
  <si>
    <t>interrupcion-02 · La tarjeta que tu mayorista no te muestra</t>
  </si>
  <si>
    <t>Formato</t>
  </si>
  <si>
    <t>Duplicada de la tarjeta y su apertura no era regateo (dos tomas). Queda fusionada en 'La tarjeta que tu mayorista no te pasa', con su frase 'no te la va a mostrar nunca' en lugar de 'ni loco', que no está en el corpus de Nahue.</t>
  </si>
  <si>
    <t>Familia</t>
  </si>
  <si>
    <t>Primeros 3 segundos</t>
  </si>
  <si>
    <t>interrupcion-03 · Este no, este sí</t>
  </si>
  <si>
    <t>Beats</t>
  </si>
  <si>
    <t>Duración</t>
  </si>
  <si>
    <t>Rendimiento en Nico</t>
  </si>
  <si>
    <t>Cuándo usarlo</t>
  </si>
  <si>
    <t>Cómo lo hace Nahue en China</t>
  </si>
  <si>
    <t>Riesgos</t>
  </si>
  <si>
    <t>Duplicada de 'El más vendido no'; el motivo del sí y del no quedaba sin voz de Nahue y la pregunta de precio al vendedor era relleno.</t>
  </si>
  <si>
    <t>Ejemplos de Nico (hook textual · views · x mediana · link)</t>
  </si>
  <si>
    <t>interrupcion-05 · El logo en segundos</t>
  </si>
  <si>
    <t>Regateo en el puesto</t>
  </si>
  <si>
    <t>Misma máquina y mismo YO que 'Cuántas para ponerle mi logo'; su primer plano mudo de la máquina pasó a ser la apertura de esa.</t>
  </si>
  <si>
    <t>interrupcion-07 · La reposición que no espera a nadie</t>
  </si>
  <si>
    <t>Duplicada de 'Nadie te lo reserva' y la apertura mezclaba tres cosas en 3 s; su frase del 27-abr-2026 pasó a esa.</t>
  </si>
  <si>
    <t>Primer segundo con algo en la mano o una pregunta concreta · la frase del lead va escrita en pantalla, nunca de memoria · todo número va en [SLOT] hasta que Nahue lo confirme · CTA al final y en el caption · 6 meses al mismo precio, nunca 'vence' · el producto se muestra como proceso, nunca como equipo</t>
  </si>
  <si>
    <t>interrupcion-08 · Lo que pasa en el medio, en tres paradas</t>
  </si>
  <si>
    <t>Interrupción</t>
  </si>
  <si>
    <t>Tercera versión de las tres paradas, con la apertura más floja, y el GUIA prometía un costo por parada que la calculadora no da.</t>
  </si>
  <si>
    <t>Arranca ya dentro de la escena: la pregunta de precio al vendedor ('How are you? What is the price?' / 'Hola, ¿cuánto es esto?'). Sin saludo a cámara, sin intro, el producto en la mano.</t>
  </si>
  <si>
    <t>interrupcion-13 · La guita va a la mercadería</t>
  </si>
  <si>
    <t>0-3s: pregunta de precio al vendedor, en el idioma que salga
3-8s: el vendedor responde y se ve el producto (cantidad o precio dicho en voz alta)
8-12s: pedís la tarjeta o el contacto
12-16s: reacción corta a cámara ('productazo') y keyword de una palabra en el caption</t>
  </si>
  <si>
    <t>Usa la frase de una lead en proceso de venta, con la misma cifra de 3.000 que abre la del pool, y cerraba en YO contra lo que dice ella; es la primera que vuelve cuando la lead cierre.</t>
  </si>
  <si>
    <t>10 a 24 s (mediana 16 s)</t>
  </si>
  <si>
    <t>Mediana 7,55x la mediana del trimestre (n=3, rango 0,96x a 10,8x), mediana 1.653.997 views. Comentarios bajos: mediana 0,23 cada 1.000 views. Muestra de 3 reels de la misma semana, todos grabados en China; el de 10,8x es un regateo de réplicas clasificado como tofu, no de negocio.</t>
  </si>
  <si>
    <t>interrupcion-14 · Esto en Mercado Libre no está</t>
  </si>
  <si>
    <t>Cuando Nahue está caminando un pabellón o mercado y encuentra un producto que Casa Perfecta ya importa o va a importar. Es la pieza más rápida de grabar: una toma, sin guion.</t>
  </si>
  <si>
    <t>Duplicada de 'Buscalo en Mercado Libre', con un gancho absoluto que se chequea en un minuto y un producto de electrónica que ya no está en la feria (fase 1).</t>
  </si>
  <si>
    <t>Nahue pregunta precio y mínimo de compra de un producto real, el número se dice en voz alta y se pone en pantalla, pide la tarjeta del proveedor. Caption: keyword de una palabra. Por la biblia de setting, el comentario abre el chat con pregunta directa, el recurso va de seguimiento. Sin prometer ganancia ni usar el precio como si fuera el costo puesto en Argentina.</t>
  </si>
  <si>
    <t>Que el vendedor no deje filmar. Los dos reels más vistos casi no generan comentarios (0,23 y 0,11 cada 1.000), o sea que alcance no es lo mismo que captura. La keyword absurda ('pelotas') sí dio 2,5 pero con 0,96x. Pedir permiso antes de grabar la cara del vendedor.</t>
  </si>
  <si>
    <t>interrupcion-15 · Nadie llena un contenedor solo</t>
  </si>
  <si>
    <t>Misma escena que 'Tengo 3.000 dólares, me alcanza' con la duda recién a los 3-6 s; su frase del 27-oct-2025 pasó a esa.</t>
  </si>
  <si>
    <t>'How are you? What is the price? Ok can I get you business card?' · 1.653.997 views · 7.55x · https://www.instagram.com/p/Dewt8y-oW4w/
'Me quería sacar la roletaaaaa (regateo con vendedor de réplicas. sin transcript de negocio)' · 2.365.653 views · 10.8x · https://www.instagram.com/p/DelOT8boFSu/
'Hola. ¿cuánto es esto? Esto es 3 piezas' · 209.824 views · 0.96x · https://www.instagram.com/p/Dey72V_o5se/</t>
  </si>
  <si>
    <t>pregunta-01 · Mercado Libre contra la feria</t>
  </si>
  <si>
    <t>Duplicada de 'El precio en el stand contra Mercado Libre' y armada para el pabellón de hogar, que cierra el 27-oct; su apertura de Nahue 2025 queda como variante en el ojo de esa.</t>
  </si>
  <si>
    <t>pregunta-03 · Mi importador se quedó sin stock</t>
  </si>
  <si>
    <t>Escena cruda con pregunta al feed</t>
  </si>
  <si>
    <t>No se puede grabar como está, el stand de iluminación fue fase 1 y cerró el 19-oct, y duplica 'Nadie te lo reserva'; su pregunta por la próxima tanda pasó a esa.</t>
  </si>
  <si>
    <t>pregunta-04 · Multiplicá por 4</t>
  </si>
  <si>
    <t>Duplicada de 'Dejá de multiplicar por cuatro'; Nahue leía la regla en primera persona como si fuera experiencia suya y cargaba cuatro números en pantalla.</t>
  </si>
  <si>
    <t>pregunta-05 · Los pasos del medio (versión GUIA)</t>
  </si>
  <si>
    <t>Id</t>
  </si>
  <si>
    <t>Duplicada de 'Los pasos del medio'; queda la versión con la pregunta en off en primera persona y cierre en YO, que no promete un costo por parada.</t>
  </si>
  <si>
    <t>pregunta-09 · Cuál es la tuya</t>
  </si>
  <si>
    <t>Mismo remate y mismo COSTOS que 'Diez iguales en la mesa', con cuatro datos en pantalla.</t>
  </si>
  <si>
    <t>pregunta-10 · Tengo que llenar un contenedor</t>
  </si>
  <si>
    <t>Imagen sin contexto y sin voz a cámara: un puesto con bichos, una moto cargada, un cartel. El texto o caption hace la pregunta ('QUIEN PA LLEVAR LAS MOTOS ?', 'Comerían?').</t>
  </si>
  <si>
    <t>Mismo gancho y mismo depósito que 'Tengo 3.000 dólares, me alcanza', y el GUIA prometía calcular la carga compartida, que la calculadora no hace.</t>
  </si>
  <si>
    <t>0-3s: plano directo de la cosa rara, sin presentarla
3-12s: la sigue mostrando, comentario de una frase de Nahue o del filmmaker
12-15s: reacción a cámara o corte seco
Caption: una pregunta de sí o no, o un 'quién se lleva esto'</t>
  </si>
  <si>
    <t>Dato</t>
  </si>
  <si>
    <t>15 a 60 s (mediana 52 s)</t>
  </si>
  <si>
    <t>pregunta-11 · Quién mira la mercadería</t>
  </si>
  <si>
    <t>Mediana 1,83x (n=4, rango 0,5x a 1,98x), mediana 399.764 views, 0,42 comentarios cada 1.000 views. Piso estable, techo bajo.</t>
  </si>
  <si>
    <t>Duplicada de 'Quién mira tu mercadería antes de que salga'; su remate y sus slots de confirmación pasaron a esa.</t>
  </si>
  <si>
    <t>Relleno de alcance en días sin pieza de negocio, o cuando pasa algo visual que no se puede explicar en 20 s.</t>
  </si>
  <si>
    <t>Frase textual del lead</t>
  </si>
  <si>
    <t>FERIA DE CANTÓN · fase 2 hasta el martes 27-oct (hogar, bazar, cocina, deco, regalos) · fase 3 del 31-oct al 4-nov (ropa, bolsos, oficina, deporte, mascotas, juguetes, cuidado personal) · fase 1 (electrónica, iluminación, herramientas) cerró el 19: eso va en mercados de Guangzhou o Shenzhen</t>
  </si>
  <si>
    <t>pregunta-12 · Esto lo comprás vos</t>
  </si>
  <si>
    <t>Un plano de algo que Nahue vea en la feria o el puerto que sea producto importable (no animales, no comida rara), con el caption como pregunta ('¿Quién se importaría esto?'). Mantiene la presencia en China sin necesidad de guion.</t>
  </si>
  <si>
    <t>Misma escena que 'Negociando el próximo pedido de Casa Perfecta', y la pregunta instalaba la sospecha de que fuera armado.</t>
  </si>
  <si>
    <t>Es público de entretenimiento: 0,42 comentarios cada 1.000 views, nada de captura directa. Una de las 4 es una rata rescatada (ig_Dejj7t3oZKt, 1,98x), no replicable ni deseable para la marca. Sin mensaje de negocio, no mueve agendas.</t>
  </si>
  <si>
    <t>Fuente</t>
  </si>
  <si>
    <t>'China china' · 401.692 views · 1.83x · https://www.instagram.com/p/De4T9FXoduB/
'QUIEN PA LLEVAR LAS MOTOS ?' · 397.837 views · 1.82x · https://www.instagram.com/p/De0aPF8IhRc/
'Para comernos un alacrancito. una cigarra o un saltamontes. pura proteína' · 108.546 views · 0.5x · https://www.instagram.com/p/DeqB3EboaYp/</t>
  </si>
  <si>
    <t>pregunta-14 · Hace un año que andamos a las vueltas</t>
  </si>
  <si>
    <t>Pará, escuchame</t>
  </si>
  <si>
    <t>Misma salida de noche y misma frase que 'Otro año dando vueltas'; su escalera pasó a esa.</t>
  </si>
  <si>
    <t>Lectura</t>
  </si>
  <si>
    <t>Imperativo directo a alguien en cuadro ('Pará, pará, ¿qué estás haciendo?', 'Escuchame, a ver qué color de diente tenés.'). El objeto está en la mano o en la boca de la otra persona.</t>
  </si>
  <si>
    <t>conversion-2 · Los dos precios en voz alta</t>
  </si>
  <si>
    <t>0-3s: imperativo que corta a la otra persona
3-15s: demostración con el objeto (se ve el cambio o el error)
15-25s: veredicto en una frase
Remate o salida seca</t>
  </si>
  <si>
    <t>Tercera copia del precio contra Mercado Libre y le preguntaba en castellano al vendedor chino; la captura de Mercado Libre en el segundo 0 pasó a la que queda.</t>
  </si>
  <si>
    <t>28 a 56 s (mediana 39 s)</t>
  </si>
  <si>
    <t>Mediana 2,17x pero con n=4 y rango 0,17x a 4,39x, o sea que no hay mediana confiable. Los dos de producto con demostración física (diente, protector bucal) hicieron 4,39x y 3,71x. Los dos de importación hablada hicieron 0,63x y 0,17x.</t>
  </si>
  <si>
    <t>Solo si hay un objeto que se pueda mostrar funcionando en el momento. Es el formato con menos evidencia para tema importación.</t>
  </si>
  <si>
    <t>conversion-5 · Ninguna caja sale sin que alguien la abra</t>
  </si>
  <si>
    <t>Ángulo</t>
  </si>
  <si>
    <t>Nahue frena al filmmaker, al traductor o a un proveedor con un objeto en la mano: 'Pará, mirá esto', y se ve algo concreto (peso, acabado, empaque, un defecto). La interrupción es la mecánica, el objeto es la prueba.</t>
  </si>
  <si>
    <t>Misma escena que la del control, abría con un absoluto sin confirmar y sugería un control para clientes que nadie confirmó.</t>
  </si>
  <si>
    <t>Si el 'pará' no tiene objeto que mostrar, cae a 0,17x a 0,63x (n=2). Los de 4x son de otro nicho (salud bucal) y fueron con una persona a cuadro, no con explicación. Tratarlo como prueba, no como pilar.</t>
  </si>
  <si>
    <t>conversion-8 · Dejá de multiplicar por 4</t>
  </si>
  <si>
    <t>70/30</t>
  </si>
  <si>
    <t>Mismo gancho que 'Dejá de multiplicar por cuatro' y la cita del lead estaba reescrita.</t>
  </si>
  <si>
    <t>'Escuchame. a ver qué color de diente tenés.' · 590.506 views · 4.39x · https://www.instagram.com/p/DbjceGMhAR5/
'Abrir la boca y ponerte este protector bucal. Rápido.' · 499.254 views · 3.71x · https://www.instagram.com/p/DdFdRiMAPIy/
'Vico. pará. pará. ¿dónde vas? A China.' · 85.423 views · 0.63x · https://www.instagram.com/p/DcldKLTxYfe/
'Pará. pará. ¿qué estás haciendo? ¿Qué es todo esto? Haciendo todos los papeles porque quiero importar de China' · 36.449 views · 0.17x · https://www.instagram.com/p/Dd_cuMexS99/</t>
  </si>
  <si>
    <t>Reto al hábito</t>
  </si>
  <si>
    <t>Para quién</t>
  </si>
  <si>
    <t>conversion-9 · Con mi logo, cuánto</t>
  </si>
  <si>
    <t>Prohibición o juicio en primera frase, a cámara, con el enemigo nombrado y sin saludo. Dos moldes: imperativo ('Dejá de comprar en X', 'Lo peor que podés hacer es X') y asombro ('Yo no puedo creer que todavía haya gente que X').</t>
  </si>
  <si>
    <t>Pisaba la pregunta de 'Cuántas para ponerle mi logo' y el diagnóstico de 'Diez iguales', y la frase del lead de Mercado Libre no se pudo cruzar con un transcript; es la candidata a segunda pieza del test de Mercado Libre.</t>
  </si>
  <si>
    <t>Fuerza</t>
  </si>
  <si>
    <t>0-3s: la prohibición o el juicio
3-10s: el motivo con un número (precio, margen, riesgo)
10-22s: la alternativa o la prueba
22-30s: keyword en voz ('comentá X')</t>
  </si>
  <si>
    <t>conversion-10 · Fábrica o revendedor</t>
  </si>
  <si>
    <t>21 a 55 s (mediana 30 s)</t>
  </si>
  <si>
    <t>Tercera pieza del miedo al proveedor (pasaba el 30% de nuevas) y daba como regla una práctica que no está verificada de Nahue, con riesgo de dejar al trader como el malo.</t>
  </si>
  <si>
    <t>Escena en China que lo prueba</t>
  </si>
  <si>
    <t>Criterio: Quedan 19 piezas de 42 en 10 bloques por ángulo, ordenados por lo que más mueve la agenda (la cuenta y proveedor arriba, por el AD 5 calculadora y el AD 15 escalado); son 9 de patrón de interrupción y 10 de pregunta directa, 13 validadas y 6 nuevas (68/32), cada una de 15 a 40 s en una toma o 2-3 cortes y con su refe de Nico al lado.
Se cayeron 23 por duplicadas, por romper una regla dura (pitchear el acompañamiento, prácticas o frases sin verificar) o por no poder grabarse, porque la fase 1 de la feria cerró el 19-oct; mañana 27 es el último día de la fase 2 y la 3 va del 31-oct al 4-nov, así que las de stand de hogar y bazar se graban mañana o pasan a fase 3 o a un mercado.
Antes de publicar falta tu OK en la cifra de contenedores por mes y en las frases de leads que siguen en seguimiento, y confirmar que YO, GUIA, COSTOS y LISTA entregan lo que promete cada CTA (los de YO dicen 'te cuento', para que el setter abra con pregunta como pide la biblia).</t>
  </si>
  <si>
    <t>Mediana 1,05x (n=11 sin fijados, rango 0,23x a 9,74x), 141.392 views y 1,69 comentarios cada 1.000 views. El mismo hook decae: Paraguay pasó de 4,88x (fijado, 14-jul) a 0,84x (22-jul) y 0,23x (7-oct).</t>
  </si>
  <si>
    <t>conversion-12 · Un año dando vueltas</t>
  </si>
  <si>
    <t>Talking head de una toma. Sirve con un fondo de China detrás para dar autoridad, sin preparar nada.</t>
  </si>
  <si>
    <t>Cerraba pitcheando el acompañamiento ('tener a quién preguntarle en el momento'), vetado en reels desde el 24-ago, y retaba al que mira.</t>
  </si>
  <si>
    <t>Estructura: prohibición + enemigo + número + alternativa. Con Nahue en China, el enemigo puede ser 'comprar sin ver la fábrica' o 'pagar de más por un intermediario', con un dato que él vea ahí. Palabras de BM: importador o trader, nunca broker.</t>
  </si>
  <si>
    <t>Decae rápido si se repite el mismo ángulo. El de 9,74x es de un solo ángulo (brecha de precio contra Alibaba) y es el que ya ocupa Nico. No usar frases de plata fácil ('3.000 a 10.000 USD'): el dossier las marca 17% por debajo del resto.</t>
  </si>
  <si>
    <t>'Deja de comprar en Alibaba. Alibaba es un intermediario que te va a subir los precios hasta las nubes.' · 1.310.719 views · 9.74x · https://www.instagram.com/p/Da8v8vmKUkf/
'La plata no se gana trabajando.' · 470.625 views · 3.5x · https://www.instagram.com/p/Da0mAopKiW9/
'Dejá de comprar en Alibaba.' · 167.311 views · 1.24x · https://www.instagram.com/p/DbVrYwboOXO/
'Yo no puedo creer como todavía hay gente importando de Paraguay en negro de manera ilegal' · 113.138 views · 0.84x · https://www.instagram.com/p/DbGEQ6Uo8L1/
'Lo peor que podés hacer es traer productos de Paraguay' · 49.802 views · 0.23x · https://www.instagram.com/p/DeNHW_fK3aA/</t>
  </si>
  <si>
    <t>En China nadie usa eso</t>
  </si>
  <si>
    <t>SALTO-ESLABON</t>
  </si>
  <si>
    <t>Afirmación absoluta sobre el lugar ('En X nadie hace Y') con la plataforma o costumbre que el espectador da por obvia, y 'déjame contarte' en el segundo 4.</t>
  </si>
  <si>
    <t>0-3s: la afirmación absoluta
3-8s: 'hace años que voy a China y la primera vez que...' (credencial)
8-35s: cómo compran los chinos de verdad (3 pasos)
35-50s: keyword en voz</t>
  </si>
  <si>
    <t>34 a 54 s (mediana 53 s)</t>
  </si>
  <si>
    <t>Mediana 0,93x (n=5), pero es UN guion repetido 4 veces más una variante: 16,29x, 0,93x, 1,62x, 0,19x (y 0,71x la variante 'Por qué dejé de usar Alibaba'). Es el formato con más comentarios: mediana 4,13 cada 1.000 views, contra 0,66 de la base de negocio.</t>
  </si>
  <si>
    <t>5 de 14 calls del 19 al 23-oct le compran a un mayorista o importador y quieren saltar un eslabón (Nicolás, Rodrigo, Carolina, Gabriela, Jorge). Mes anterior: 11 de 62 fichas leídas traen 'proveedor me compite'.</t>
  </si>
  <si>
    <t>Es el formato que más aprovecha estar en China. Cualquier 'acá nadie hace X' que Nahue vea con sus ojos y pueda mostrar.</t>
  </si>
  <si>
    <t>Nahue, parado en la feria o en un mercado: 'Acá en China nadie hace X' con un dato propio que él pueda mostrar a cámara. Mecánica: afirmación absoluta del lugar + credencial en una frase + prueba visible detrás. Todo dato sale de lo que él ve, no de lo que dijo Nico.</t>
  </si>
  <si>
    <t>llegar al mayorista es como casi el último eslabón de la cadena</t>
  </si>
  <si>
    <t>Esta frase exacta es de Nico (4 veces); copiarla es resubirla. Cada repetición perdió fuerza. Si Nahue dice algo que no vio, es cero credibilidad en un tema que su audiencia puede chequear. Ojo con la duración: 54 s, hay que cortarlo a 30 s.</t>
  </si>
  <si>
    <t>'En China nadie compra ni por AliExpress ni por Alibaba.' · 2.193.036 views · 16.29x · https://www.instagram.com/p/Da2ncw9uCxt/
'En China nadie compra ni por AliExpress ni por Alibaba.' · 218.616 views · 1.62x · https://www.instagram.com/p/DcyXEbjsA6J/
'En China nadie compra ni por AliExpress ni por Alibaba.' · 125.627 views · 0.93x · https://www.instagram.com/p/DbYIxsHRLsS/
'En China casi nadie compra ni por Alibaba ni por AliExpress' · 41.232 views · 0.19x · https://www.instagram.com/p/DeHZ5r3u8-V/</t>
  </si>
  <si>
    <t>Nicolás Alejandro Pérez · Fran 2026-10 [00:17] https://fathom.video/calls/871941649?timestamp=17 (verificado en transcript c4)</t>
  </si>
  <si>
    <t>Precio contra precio</t>
  </si>
  <si>
    <t>Pregunta directa</t>
  </si>
  <si>
    <t>Producto en mano y una de dos frases: pregunta de precio ('Miren, esto vale 7 euros acá, ¿cuánto vale en China?') o amenaza ('Si supieras lo barato que te venden en China, te enojás').</t>
  </si>
  <si>
    <t>Compra al mayorista y sabe que hay uno más arriba, pero no sabe quién. Jerga verificada en lo que dijeron los leads de las 11 transcripts: importador 26 líneas, trader 20, proveedor 13, mayorista 13, intermediario 2, broker 0. Decir 'mayorista' o 'importador', no 'intermediario' ni 'broker'.</t>
  </si>
  <si>
    <t>0-3s: el producto y la pregunta o amenaza
3-10s: el precio de fábrica, dicho y escrito
10-25s: el precio de venta final en Argentina (contra góndola o Mercado Libre)
25-30s: keyword en voz</t>
  </si>
  <si>
    <t>25 a 56 s (mediana 32 s)</t>
  </si>
  <si>
    <t>Proveedor</t>
  </si>
  <si>
    <t>Mediana 1,14x (n=9, rango 0,35x a 12,87x), 153.600 views y 0,8 comentarios cada 1.000 views. El ganador 'Si supieras...' hizo 12,87x y su repetición 1,65x, pero con 21,08 comentarios cada 1.000 views.</t>
  </si>
  <si>
    <t>El día que Nahue está en un pabellón con un producto que Casa Perfecta ya vende en Argentina. Es el formato con prueba más fuerte para BM.</t>
  </si>
  <si>
    <t>El dossier dice que hay que robar la brecha de precio con prueba propia. Nahue sostiene el producto de Casa Perfecta en la feria o fábrica, dice el costo de fábrica real y muestra el precio de venta de Casa Perfecta o de Mercado Libre. Estructura: producto + precio de acá + precio de allá + qué hace con el margen un importador que ya vende (el ICP de BM, que Nico casi no toca).</t>
  </si>
  <si>
    <t>Todo número tiene que estar verificado, y regla de BM: cero cifras sin verificar. El 'te enojás' es de Nico (decae 12,87x a 1,65x en 6 días). Evitar el cálculo largo en pantalla: la versión con cuenta (ig_DdUTh16qlNH) hizo 0,35x. No prometer plata ('3.000 dólares al mes' es el claim más débil).</t>
  </si>
  <si>
    <t>VALIDADO 70%</t>
  </si>
  <si>
    <t>'Si supieras lo barato que te venden en China. te enojás.' · 1.732.580 views · 12.87x · https://www.instagram.com/p/Da8D3G-OzSD/
'3.000 dólares al mes podés hacer con este producto.' · 361.135 views · 2.68x · https://www.instagram.com/p/DdW8UEzKkT-/
'Si supieras lo barato que te venden en China. te enojás.' · 222.238 views · 1.65x · https://www.instagram.com/p/DbJ7sZQojoP/
'Miren acá hay más de este producto que vale 7 euros. ¿Cuánto vale en China?' · 153.600 views · 1.14x · https://www.instagram.com/p/DdXUUEvqlzx/</t>
  </si>
  <si>
    <t>Abordaje al desconocido</t>
  </si>
  <si>
    <t>Ya vende</t>
  </si>
  <si>
    <t>Pregunta a un desconocido, a la altura de la persona, con un símbolo de estatus a cuadro ('Me encantó tu BMW, ¿a qué te dedicás?'), o una pregunta de calle sobre carrera o ingreso.</t>
  </si>
  <si>
    <t>alta</t>
  </si>
  <si>
    <t>0-3s: pregunta a la persona
3-30s: adivinanzas del otro ('¿trading? ¿ingeniero?')
30-60s: la revelación y el mecanismo
60-90s: cifra y keyword</t>
  </si>
  <si>
    <t>70 a 112 s (mediana 93 s)</t>
  </si>
  <si>
    <t>Nahue parado frente a un puesto o fábrica con el producto en la mano y a cámara: '¿Sabés a quién le compra tu mayorista? Acá, a este señor.' Una toma de 20 segundos, sin guion.</t>
  </si>
  <si>
    <t>CONTEO</t>
  </si>
  <si>
    <t>Mediana 0,55x (n=8, rango 0,23x a 1,02x), 119.573 views, pero 3,6 comentarios cada 1.000 views (5 veces la base de 0,66). Gana en comentarios, pierde en alcance.</t>
  </si>
  <si>
    <t>Solo en versión corta. La versión de Nico dura 90 s y no es rápida.</t>
  </si>
  <si>
    <t>Una versión de 30 s en la feria: Nahue frena a un importador argentino o latino y pregunta '¿Qué venís a comprar acá?' y '¿cuánto lo vendés allá?'. Se corta la adivinanza, queda pregunta, respuesta con cifra y prueba. Es lo que Nico hizo en China (ig_Desik9goAuu), con 0,57x.</t>
  </si>
  <si>
    <t>Es el formato más largo y de menor alcance de sus reels. Requiere persona dispuesta y consentimiento. Nico se ve obligado a actuar la 'revelación' con un amigo, lo cual es un sketch; en BM no corresponde fingir a un tercero.</t>
  </si>
  <si>
    <t>n</t>
  </si>
  <si>
    <t>'Me encantó tu BMW. ¿a qué te dedicás para tener un auto así?' · 222.506 views · 1.02x · https://www.instagram.com/p/DeZe4b3RKuO/
'¿Para vos cuál es la mejor carrera para estudiar?' · 178.589 views · 0.82x · https://www.instagram.com/p/DeZz5CKo_iD/
'Hey. ¿hablás español? ¿Qué hacés acá en China?' · 124.101 views · 0.57x · https://www.instagram.com/p/Desik9goAuu/
'Estoy agarrando a la gente en la calle preguntándole a qué se dedica y cuánto gana por mes' · 121.528 views · 0.56x · https://www.instagram.com/p/Deo7_9voY-3/</t>
  </si>
  <si>
    <t>QUIEBRE-STOCK</t>
  </si>
  <si>
    <t>La pregunta del que quiere empezar</t>
  </si>
  <si>
    <t>%</t>
  </si>
  <si>
    <t>Quien pregunta (el filmmaker o un amigo) abre con la duda y el capital en la primera frase, a cámara, sin saludar. La respuesta de Nahue va en segunda persona.</t>
  </si>
  <si>
    <t>El quiebre de stock aparece en 6 de 62 fichas como 'proveedor sube precio o sin stock' y en 1 de 14 calls de la semana (Rodrigo, iluminación). Banco de septiembre lo midió en 48% de las calls. AD 15 proveedor: 41K por conversación total, 31K en 7 días, escalado el 20-oct.</t>
  </si>
  <si>
    <t>0-4s: pregunta con capital concreto
4-20s: Nahue responde con un giro ('no necesitás un negocio')
20-45s: el mecanismo en una frase y una cifra
45-60s: objeción del otro y keyword</t>
  </si>
  <si>
    <t>35 a 82 s (mediana 57 s)</t>
  </si>
  <si>
    <t>nadie te lo reserva, por más de que seas cliente desde hace tiempo</t>
  </si>
  <si>
    <t>Mediana 0,81x (n=9, rango 0,37x a 2,89x), 108.978 views y 1,37 comentarios cada 1.000 views. Las 2 versiones sin 'Nico,' y con capital en pesos: 2,89x y 1,71x, con 16,55 y 18,27 comentarios cada 1.000 views, los más altos de todo el set.</t>
  </si>
  <si>
    <t>Cuando Nahue tiene dos minutos libres y un filmmaker que haga de preguntón. Aprovecha que el hook es la duda del avatar.</t>
  </si>
  <si>
    <t>Rodrigo Pavón · Fran 2026-10 [04:36] https://fathom.video/calls/872714434?timestamp=276</t>
  </si>
  <si>
    <t>BLOQUE 1 · 1 · LA CUENTA</t>
  </si>
  <si>
    <t>El avatar de BM ya vende o tiene algo de capital. En vez de '4 millones de pesos', va el mismo molde con la duda de un importador que ya vende: '¿Cómo hago para pasar de revender a traer con marca propia?'. Se acorta a 35 a 45 s.</t>
  </si>
  <si>
    <t>Su lámpara estrella depende de un único importador y cuando se acaba espera a que alguien la traiga. Duele más que el precio porque la publicación con reseñas se muere.</t>
  </si>
  <si>
    <t>Está actuado entre amigos de Nico, y repetido (4 millones por segunda vez rinde 1,71x contra 2,89x). Los 6 hooks que empiezan 'Nico, ...?' rinden peor: mediana 0,70x. Sacar el nombre del hook. Nunca simular un cliente falso: usar un cliente real o dejarlo explícito.</t>
  </si>
  <si>
    <t>'Tengo 4 millones de pesos. ¿qué negocio me recomendás?' · 633.528 views · 2.89x · https://www.instagram.com/p/DeW98IIosuT/
'Tengo 4 millones de pesos. ¿qué negocio me recomendás?' · 374.347 views · 1.71x · https://www.instagram.com/p/DeuYIBKotRp/
'Nico. tengo 2.000. 3.000 dólares. ¿Qué puedo hacer eso para multiplicarlos o invertirlos?' · 177.591 views · 1.32x · https://www.instagram.com/p/DdU48QLq1n7/
'Nico. quiero importar. pero ¿hace falta que mande uno completo de este?' · 113.398 views · 0.84x · https://www.instagram.com/p/DdZUB5xKQqn/</t>
  </si>
  <si>
    <t>Cifra y papel</t>
  </si>
  <si>
    <t>Otro</t>
  </si>
  <si>
    <t>Cifra en la primera frase y el papel en la mano ('Te voy a mostrar la última factura de mi importación, sin filtros', 'Mi primer error importando me costó 4.700 dólares').</t>
  </si>
  <si>
    <t>0-3s: el número y el papel o el pedido
3-15s: el desglose (unidades, costo unitario, flete)
15-30s: lo que salió bien o mal y qué aprendió
30-40s: keyword</t>
  </si>
  <si>
    <t>31 a 40 s (mediana 35 s)</t>
  </si>
  <si>
    <t>Mediana 0,85x (n=4 incluyendo una resubida, rango 0,53x a 2,38x), 114.339 views y 0,76 comentarios cada 1.000 views. Solo la primera ejecución pasó 1x con holgura.</t>
  </si>
  <si>
    <t>Nahue frente a las cajas apiladas de un pedido propio de Casa Perfecta en origen: 'Esto no se me acaba, lo pido yo.' Pregunta directa al inicio: '¿Qué hacés cuando tu importador se queda sin stock?'</t>
  </si>
  <si>
    <t>En China, la fábrica o el puerto, con el documento real a mano: una orden de compra, una cotización con sello, una nota de pago.</t>
  </si>
  <si>
    <t>DOS-PRECIOS</t>
  </si>
  <si>
    <t>Nahue muestra la orden o cotización real de un proveedor (con datos tapados) y explica 3 renglones: costo unitario, mínimo, plazo. Es la prueba de que opera en China en tiempo real, que es el diferencial de BM.</t>
  </si>
  <si>
    <t>Mediana 0,85x, ligeramente por debajo de la base de 0,86x. Documentos con nombres, bancos o cifras de proveedores: taparlos. Si el número no está verificado, no se usa.</t>
  </si>
  <si>
    <t>3 de 14 calls producen o importan para su propio negocio (Jose, Luis, Carolina). La cuenta con producto real en pantalla es lo que trae conversación barata: AD 5 calculadora 104 conversaciones a ARS 3.098 en 7 días, reel CALCULADORA 25K views y 1.002 comentarios.</t>
  </si>
  <si>
    <t>Acá vale, creo que, entre 70 y 75 millones de pesos. Y yo en China la pago 1.900 dólares</t>
  </si>
  <si>
    <t>'Te voy a mostrar la última factura de mi importación. sin filtros. sin caladurías.' · 320.833 views · 2.38x · https://www.instagram.com/p/Da3sXh8qbl0/
'Mi primer error importando me costó 4.700 dólares y te voy a contar para que no te pase.' · 143.821 views · 1.07x · https://www.instagram.com/p/Da35of4ui0B/
'Te voy a mostrar la última factura de mi importación. sin filtros (resubida)' · 70.752 views · 0.53x · https://www.instagram.com/p/DbS8_Odxn6v/</t>
  </si>
  <si>
    <t>Jose Celestino Díaz · Mauro 2026-10-21 [05:32] https://fathom.video/calls/868754938?timestamp=332 (verificado en transcript c2)</t>
  </si>
  <si>
    <t>Por dentro</t>
  </si>
  <si>
    <t>La brecha entre el precio de acá y el de allá es lo que el lead ya hizo solo y no se anima a creer. Ver el número en pantalla lo mueve más que cualquier explicación.</t>
  </si>
  <si>
    <t>Plano del lugar por dentro y la frase de exclusividad ('Pocos te van a mostrar esto. Este es nuestro depósito en Shibu por dentro').</t>
  </si>
  <si>
    <t>La cuenta</t>
  </si>
  <si>
    <t>0-3s: plano interior más la frase 'pocos te van a mostrar esto'
3-20s: recorrido con una explicación por plano (qué es, para qué sirve)
20-35s: un dato que se aprende solo estando ahí
35-40s: keyword o cierre</t>
  </si>
  <si>
    <t>Los dos</t>
  </si>
  <si>
    <t>40 a 59 s (mediana 40 s)</t>
  </si>
  <si>
    <t>Nahue frente a una máquina o producto con el cartel de precio de la feria, y con el celular muestra el precio de la misma máquina publicada acá. Patrón de interrupción: arranca con los dos números dichos en voz alta, sin saludo.</t>
  </si>
  <si>
    <t>Mediana 1,21x (n=3, rango 0,64x a 2,96x), 263.931 views y 0,24 comentarios cada 1.000 views. Buen alcance, casi sin comentarios. La resubida perdió 4,6 veces (2,96x a 0,64x).</t>
  </si>
  <si>
    <t>MARGEN-SE-ACHICA</t>
  </si>
  <si>
    <t>Cuando Nahue entra a una fábrica o depósito. Es lo que Nico no puede mostrar con su operación, y lo que BM tiene (operación armada en China).</t>
  </si>
  <si>
    <t>5 de 14 calls compran a mayorista y ven el margen bajar; 'la cuenta y el margen' mueve la compra en 11 de 62 fichas. Banco de septiembre: margen aplastado revendiendo local 15% contra 80-120% importando.</t>
  </si>
  <si>
    <t>yo lo compraba a 18.000 pesos y lo vendía en 38 ... ahora sale uno similar, me sale 30.000 pesos</t>
  </si>
  <si>
    <t>Orden</t>
  </si>
  <si>
    <t>Nahue recorre una fábrica o el depósito en Yiwu o Guangzhou con tres planos y una frase por plano. Mecánica: exclusividad en la primera frase y un dato práctico por plano (cómo se inspecciona, qué se revisa antes de cargar).</t>
  </si>
  <si>
    <t>Gabriela del Valle Ocaño · Joaco 2026-10-19 [06:42] https://fathom.video/calls/864076294?timestamp=402</t>
  </si>
  <si>
    <t>Comenta poco (0,24 cada 1.000 views), sirve para alcance y autoridad, no para captura. Pedir permiso en fábrica. No mostrar fábricas ajenas sin autorización del proveedor. El último hizo 1,21x grabado en la fábrica de hockey de su marca, no de importación.</t>
  </si>
  <si>
    <t>El producto sube, el precio de venta no puede, y ella quiere traerlo directo. Habla de bazar y limpieza: producto barato, de reposición, que se ve en cualquier mercado de China.</t>
  </si>
  <si>
    <t>Insight (dato)</t>
  </si>
  <si>
    <t>'Pocos te van a mostrar esto. Este es nuestro depósito en Shibu por dentro.' · 397.955 views · 2.96x · https://www.instagram.com/p/Da7yQ3yuQ_P/
'Bueno amigos. ahí están viendo cómo se hace un palo de hockey Nika' · 263.931 views · 1.21x · https://www.instagram.com/p/DeDKuslItsB/
'Pocos te van a mostrar esto (misma pieza. resubida)' · 86.534 views · 0.64x · https://www.instagram.com/p/DbGEQrBRNim/</t>
  </si>
  <si>
    <t>Formato (refe Nico)</t>
  </si>
  <si>
    <t>media</t>
  </si>
  <si>
    <t>Tipo</t>
  </si>
  <si>
    <t>Nahue en un pasillo de bazar o limpieza de un mercado mayorista con un producto cotidiano en la mano: '¿Cuánto lo pagás vos? Acá sale esto.' Pregunta directa y el precio en la etiqueta a cámara.</t>
  </si>
  <si>
    <t>REGLA-DEL-4</t>
  </si>
  <si>
    <t>NICO GRABANDO EN CHINA</t>
  </si>
  <si>
    <t>Hook · primer segundo</t>
  </si>
  <si>
    <t>3 de 14 calls ya hicieron un curso y no arrancaron; en el mes anterior 5 de 62 fichas 'pagué un curso y no importé'. La regla del 'precio de allá por 4 o por 5' no cierra contra los precios de Mercado Libre.</t>
  </si>
  <si>
    <t>En pantalla</t>
  </si>
  <si>
    <t>en el otro curso me decían que tenía que el precio de allá multiplicarlo por 4 o por 5 para poder ponerme a vender acá ... yo no iba a entrar nunca en la competencia porque no me daban los números</t>
  </si>
  <si>
    <t>Escena · props en China</t>
  </si>
  <si>
    <t>Sebastián Pérez y Ruth · Joaco 2026-10-22 [04:01] https://fathom.video/calls/871025012?timestamp=241 (verificado en transcript c12)</t>
  </si>
  <si>
    <t>Guion (guía, no se memoriza)</t>
  </si>
  <si>
    <t>CTA</t>
  </si>
  <si>
    <t>Una regla de multiplicar no es una cuenta. Esta pareja dejó pasar un año porque con esa regla no daba. Va sin nombrar a ningún competidor.</t>
  </si>
  <si>
    <t>OJO · slots</t>
  </si>
  <si>
    <t>Prioridad</t>
  </si>
  <si>
    <t>Refe Nico</t>
  </si>
  <si>
    <t>Sin negocio</t>
  </si>
  <si>
    <t>Estado</t>
  </si>
  <si>
    <t>Link a crudos</t>
  </si>
  <si>
    <t>Nahue con calculadora en mano en el mercado: 'Te dicen multiplicá por 4. Hagamos la cuenta de este producto de verdad.' Una toma, precio de fábrica, flete, y el precio de venta que ve el cliente acá.</t>
  </si>
  <si>
    <t>CURSO-SIN-ARRANCAR</t>
  </si>
  <si>
    <t>Fecha</t>
  </si>
  <si>
    <t>3 de 14 calls de la semana con curso previo y cuatro nombran a Woker como referencia; 5 de 62 fichas 'pagué un curso y no importé'; 'desconfianza por cursos' 19% de los compradores del mes. Banco #49 sin pieza propia; la primera pieza de test #49 salió sin veredicto.</t>
  </si>
  <si>
    <t>Hook textual</t>
  </si>
  <si>
    <t>Yo tengo 3.000 dólares, lo uso para importar mercadería, no para gastarme en el curso</t>
  </si>
  <si>
    <t>Qué hace</t>
  </si>
  <si>
    <t>Lidia Dombroski · Joaco 2026-10-23 [12:08] https://fathom.video/calls/871951620?timestamp=728 (verificado en transcript c13)</t>
  </si>
  <si>
    <t>Views</t>
  </si>
  <si>
    <t>Hay gente quemada por teoría sin números. Lo que la convence es ver a alguien que está haciendo la compra de verdad, no un pitch.</t>
  </si>
  <si>
    <t>Anti-humo</t>
  </si>
  <si>
    <t>x mediana</t>
  </si>
  <si>
    <t>NUEVO 30%</t>
  </si>
  <si>
    <t>Link</t>
  </si>
  <si>
    <t>2026-10-17</t>
  </si>
  <si>
    <t>Nahue en la fábrica o el depósito de su agente, con una orden de compra real sobre la mesa: 'Esto no se aprende en un PDF. Esto es lo que estoy pidiendo hoy.' Sin nombrar a nadie.</t>
  </si>
  <si>
    <t>Me quería sacar la roletaaaaa</t>
  </si>
  <si>
    <t>PASOS-DEL-MEDIO</t>
  </si>
  <si>
    <t>Regateo cómico en la calle con un vendedor de réplicas. Inglés cruzado, remate con el precio. Sin guion de negocio ni keyword. Es la pieza más vista del viaje: viralizó por identificación (todos vivieron esa escena).</t>
  </si>
  <si>
    <t>6 de 14 calls arrancan de cero y piden los pasos en orden (Aldo, Gabriela, Iván, Juan y socios, Sebastián y Ruth, Lidia). 'Cómo se importa en 1 minuto' fue el mejor score de IG (1,94x) y el dolor #2 del banco (39%).</t>
  </si>
  <si>
    <t>Pero no sé los pasos en el medio</t>
  </si>
  <si>
    <t>Aldo Zalazar · Mauro 2026-10 [08:25] https://fathom.video/calls/864126744?timestamp=505 (verificado en transcript c1)</t>
  </si>
  <si>
    <t>Entiende que hay un lado de acá y uno de allá. Lo que no ve es lo que pasa en el medio. La respuesta más corta es mostrar el camino físico.</t>
  </si>
  <si>
    <t>https://www.instagram.com/p/DelOT8boFSu/</t>
  </si>
  <si>
    <t>2026-10-21</t>
  </si>
  <si>
    <t>China</t>
  </si>
  <si>
    <t>How are you? What is the price? Ok can I get you business card?</t>
  </si>
  <si>
    <t>10 s de clip en el puesto: pregunta de precio, pedido de tarjeta. Keyword 'proveedor' en el caption. 0,23 comentarios cada 1.000 views.</t>
  </si>
  <si>
    <t>Nahue camina el recorrido en tres paradas de 10 segundos cada una (fábrica, depósito del agente, puerto o camión) con la voz en off: 'Esto es lo que pasa en el medio.' Un corte por parada.</t>
  </si>
  <si>
    <t>MARCA-PROPIA</t>
  </si>
  <si>
    <t>https://www.instagram.com/p/Dewt8y-oW4w/</t>
  </si>
  <si>
    <t>'Marca propia' es el ángulo que más movió la compra: 25 de 62 fichas leídas (40%) y 39% de los 99 compradores del mes, el único fuerte en los tres perfiles. Pero explicada rinde 0,53x y 0,87x y mostrada 1,01x.</t>
  </si>
  <si>
    <t>Y si vendés tu propia marca, al final la gente no compra tu producto, compra la marca</t>
  </si>
  <si>
    <t>2026-10-22</t>
  </si>
  <si>
    <t>Emma Mesu · Joaco 2026-09-18 [10:30] (rec 184691594, ficha; sin link por no tener call_id)</t>
  </si>
  <si>
    <t>Todos la quieren y ninguna pieza que la explica rinde. Hay que mostrarla con un producto en la mano, no definirla.</t>
  </si>
  <si>
    <t>Hola, ¿cuánto es esto? Esto es 3 piezas</t>
  </si>
  <si>
    <t>Marca</t>
  </si>
  <si>
    <t>16 s de regateo en el mercado, 'productazo' y pide el contacto. Keyword 'pelotas'. El de más comentarios de los de mercado (2,5 cada 1.000).</t>
  </si>
  <si>
    <t>Nahue en una fábrica donde le graban o estampan un logo en el producto, 15 a 20 segundos de la máquina trabajando y una sola frase a cámara. Marca mostrada, nunca explicada.</t>
  </si>
  <si>
    <t>NO-SE-QUE-PRODUCTO</t>
  </si>
  <si>
    <t>'No sé qué producto' mueve la compra en 11 de 62 fichas (21% del mes) y aparece en 2 de 14 calls (Iván, Aldo). Los carruseles de producto fueron lo que más sostuvo el feed: LISTA 13.421 views y 108 comentarios, YO 16.942 views con 134 guardados.</t>
  </si>
  <si>
    <t>https://www.instagram.com/p/Dey72V_o5se/</t>
  </si>
  <si>
    <t>Yo quería ponerle inicio a dejar de acumular ideas y empezar con algo concreto</t>
  </si>
  <si>
    <t>Ignacio Colombo · Fran 2026-09-16 [05:00] (rec 183811948, ficha)</t>
  </si>
  <si>
    <t>Tiene ideas de sobra y le falta que alguien le diga cuál. Un pasillo de feria lleno de productos es la mejor respuesta visual.</t>
  </si>
  <si>
    <t>2026-10-24</t>
  </si>
  <si>
    <t>Qué producto</t>
  </si>
  <si>
    <t>China china</t>
  </si>
  <si>
    <t>15 s de plano random sin contexto, caption mínimo con emoji de bandera. Alcance por curiosidad.</t>
  </si>
  <si>
    <t>Nahue recorre un pasillo del mercado con el filmmaker y elige 3 productos en vivo, con pregunta directa a cámara: '¿Cuál de estos importarías vos?' y dice cuál sí y cuál no con un solo motivo.</t>
  </si>
  <si>
    <t>PRODUCTO-NO-EXISTE-ACA</t>
  </si>
  <si>
    <t>https://www.instagram.com/p/De4T9FXoduB/</t>
  </si>
  <si>
    <t>1 de 14 calls (Jorge, locales de celulares) dice que ya no encuentra producto que no exista acá. En el banco, 'cada producto del container' fue la pieza con más gatillos de septiembre (5 más 8 consumos) y el mes anterior 2 fichas hablan de copia o de fabricante que vende online.</t>
  </si>
  <si>
    <t>No encontré producto que no exista acá</t>
  </si>
  <si>
    <t>2026-10-23</t>
  </si>
  <si>
    <t>Jorge Hartl · Joaco 2026-10-21 [04:52] https://fathom.video/calls/867985423?timestamp=292 (cita acortada de la ficha, el transcript c11 no está para verificar)</t>
  </si>
  <si>
    <t>QUIEN PA LLEVAR LAS MOTOS ?</t>
  </si>
  <si>
    <t>El que ya vende cree que todo está traído. Un producto de feria que no se ve en Mercado Libre lo corrige. Chequear en ML antes de decirlo en cámara.</t>
  </si>
  <si>
    <t>Producto</t>
  </si>
  <si>
    <t>53 s de escena en China, la pregunta va en el caption. Sin keyword. 0,82 comentarios cada 1.000 views.</t>
  </si>
  <si>
    <t>https://www.instagram.com/p/De0aPF8IhRc/</t>
  </si>
  <si>
    <t>2026-10-16</t>
  </si>
  <si>
    <t>Una rata que estaban torturando</t>
  </si>
  <si>
    <t>Nahue con un producto novedoso de la feria en la mano y la pantalla de Mercado Libre buscándolo en el celular: 'Buscalo vos. Acá todavía no está.' Solo si se verifica en el momento.</t>
  </si>
  <si>
    <t>ML-VENTAS-BAJAN</t>
  </si>
  <si>
    <t>52 s: empieza como regateo en mercado y pasa a un rescate de animal. Shock y ternura, puro entretenimiento.</t>
  </si>
  <si>
    <t>'Mercado Libre comisiones' mueve la compra en 9 de 62 fichas y es el 50% del comprador que ya vende online. Sin pieza propia en el feed y el AD 14 ML precio nunca entregó (error 2016153); AD 17 ML PRECIO v2 recreado el 20-oct.</t>
  </si>
  <si>
    <t>Hubo varios días que habíamos llegado a 15, 20 ventas más o menos por día ... y después, a partir de mayo hasta ahora, empezamos como que solamente a bajar</t>
  </si>
  <si>
    <t>Agustín Díaz · Mauro 2026-09-16 [06:57] (rec 183698266, ficha)</t>
  </si>
  <si>
    <t>https://www.instagram.com/p/Dejj7t3oZKt/</t>
  </si>
  <si>
    <t>El vendedor de ML no se queja de la comisión, se queja de que las ventas bajaron porque hay diez iguales. Es el dolor del que vende un producto de todos.</t>
  </si>
  <si>
    <t>Mercado Libre</t>
  </si>
  <si>
    <t>2026-10-19</t>
  </si>
  <si>
    <t>Para comernos un alacrancito, una cigarra o un saltamontes, pura proteína</t>
  </si>
  <si>
    <t>Nahue en la fábrica con un producto sin marca en la mano y la pantalla del celular mostrando diez publicaciones iguales en ML: '¿Cuál es el tuyo?' Pregunta directa, 20 segundos.</t>
  </si>
  <si>
    <t>POOL-SIN-CONTENEDOR</t>
  </si>
  <si>
    <t>60 s en un puesto de comida exótica. Caption '¿Comerían?'. El más bajo del viaje, 0,2 comentarios cada 1.000 views.</t>
  </si>
  <si>
    <t>'Pool y poco capital' mueve la compra en 17 de 62 fichas; 6 de 10 seguimientos de la semana frenan por plata. Atención: 5 de 14 leyeron el pool como servicio de logística y AD 7 pool dio 0 conversaciones, por eso no va como gancho de captación.</t>
  </si>
  <si>
    <t>tenés que poner, sea poco o mucho, como medio de entrada todo el capital y después recuperarlo</t>
  </si>
  <si>
    <t>Luis Lee · Joaco 2026-10-23 [15:14] https://fathom.video/calls/871951624?timestamp=914 (verificado en transcript c14)</t>
  </si>
  <si>
    <t>Cree que importar es poner todo de entrada. Mostrar la carga compartida de varios clientes baja esa idea. Grabar como proceso de quien ya arma su marca, no como oferta de logística.</t>
  </si>
  <si>
    <t>https://www.instagram.com/p/DeqB3EboaYp/</t>
  </si>
  <si>
    <t>Pool</t>
  </si>
  <si>
    <t>2026-10-20</t>
  </si>
  <si>
    <t>Nahue en el depósito de consolidación, mostrando cajas de distintos clientes en un mismo contenedor: 'Acá cada uno pone lo suyo, nadie llena un contenedor entero.' Un travelling de 20 segundos.</t>
  </si>
  <si>
    <t>HACE-UN-ANIO</t>
  </si>
  <si>
    <t>Hey, ¿hablás español? ¿Qué hacés acá en China?</t>
  </si>
  <si>
    <t>6 de 10 seguimientos frenan por miedo a equivocarse; 10 de 14 piden acompañamiento con sus propias palabras. Seba y Ruth: un año dando vueltas con ropa, pet shop y herramientas, sin comprar nada.</t>
  </si>
  <si>
    <t>El precio en el stand contra Mercado Libre</t>
  </si>
  <si>
    <t>90 s: abordaje a un argentino en China, juego de adivinanzas y revelación 'vine a ver proveedores, pero se puede hacer desde el sillón'. Keyword 'China'.</t>
  </si>
  <si>
    <t>hace un año que andamos a las vueltas</t>
  </si>
  <si>
    <t>Sebastián Pérez y Ruth · Joaco 2026-10-22 [09:25] https://fathom.video/calls/871025012?timestamp=565 (verificado en transcript c12)</t>
  </si>
  <si>
    <t>No les falta información, les falta empezar con algo chico. Funciona como patrón de interrupción hablado al que hace tiempo que lo piensa.</t>
  </si>
  <si>
    <t>Mentalidad</t>
  </si>
  <si>
    <t>https://www.instagram.com/p/Desik9goAuu/</t>
  </si>
  <si>
    <t>3 de 14 calls del 19 al 23-oct ya hicieron solos la comparación de acá contra allá y no se animan a creerla. Ver el número en pantalla mueve más que explicarlo, y la cuenta con producto real es lo que trae la conversación más barata (AD 5 calculadora, 104 conversaciones a ARS 3.098 en 7 días). Frase de call, 'Acá vale, creo que, entre 70 y 75 millones de pesos. Y yo en China la pago 1.900 dólares'.
(Insight DOS-PRECIOS · calls del 19 al 23-oct (n=14) · AD 5 calculadora, últimos 7 días · reel CALCULADORA del 3-ago, 25.947 views y 1.030 comentarios)</t>
  </si>
  <si>
    <t>Nahue de noche en la calle de la feria, a cámara y sin producto: '¿Hace cuánto lo pensás? Yo estoy acá y esto lo empecé con una sola caja.' Solo si es cierto para él; si no, cambiar la segunda frase.</t>
  </si>
  <si>
    <t>2026-09-01</t>
  </si>
  <si>
    <t>CONTACTOS-EN-CHINA</t>
  </si>
  <si>
    <t>¿Y Viego? ¿El sistema de iluminación?</t>
  </si>
  <si>
    <t>Lo que cierra en las calls es 'tener a alguien en China' (con pool y acompañamiento). En la semana: Lidia 'no tengo contactos', Carolina 'traerlo con mercadería de ustedes', Aldo 'el intermedio entre cómo comprar allá y traerlo al país'. Casa Perfecta como prueba la usan los closers en 12 de 13 calls.</t>
  </si>
  <si>
    <t>TOFU/captación</t>
  </si>
  <si>
    <t>Al ser la primera tampoco conozco, no tengo contactos, menos de afuera</t>
  </si>
  <si>
    <t>Lidia Dombroski · Joaco 2026-10-23 [13:19] https://fathom.video/calls/871951620?timestamp=799 (verificado en transcript c13)</t>
  </si>
  <si>
    <t>Vlog de 319 s de negociación real en una fábrica (precio, 15.000 USD, garantía) con recorrida por Beijing. Keyword 'china' para el viaje de octubre.</t>
  </si>
  <si>
    <t>(producto ya en la mano, sin saludo a cámara, al vendedor) How much is this one? (y a cámara, con el número) Gente, este mismo en Mercado Libre está a [SLOT precio en Mercado Libre] pesos.</t>
  </si>
  <si>
    <t>No es un miedo a la teoría, es no conocer a nadie allá. Ver a la persona de Nahue en China con la mercadería lo resuelve sin explicar nada. Con permiso de quien salga en cámara.</t>
  </si>
  <si>
    <t>Nahue con la persona que revisa mercadería para él, a cámara en el depósito: '¿Quién mira tu mercadería antes de que salga?' y ella abriendo una caja. Ojos humanos en China en 25 segundos.</t>
  </si>
  <si>
    <t>https://www.instagram.com/p/DcwMXoGqc-W/</t>
  </si>
  <si>
    <t>CASA-PERFECTA-EN-VIVO</t>
  </si>
  <si>
    <t>Casa Perfecta se usó como prueba en 12 de 13 calls con transcript de la semana; en septiembre fue el argumento anti-desconfianza más ganador del banco. 2 compradores del mes lo nombran: 'muestra todo el tiempo el proceso'.</t>
  </si>
  <si>
    <t>él tiene como la marca, por así decir muestra su trabajo y tiene realmente una empresa, muestra todo el tiempo el proceso</t>
  </si>
  <si>
    <t>NAHUE EN CHINA (feria y fábricas de oct-2025) · cómo le rindió</t>
  </si>
  <si>
    <t>Thiago Fornaro · Joaquin Carrasco 2026-09-09 [09:12] (rec 181534652, ficha; frase reordenada por la ficha, revisar antes de usar entre comillas)</t>
  </si>
  <si>
    <t>Compran que el operador sigue operando. El evento real le da a Nahue 2,66x de alcance y la pantalla como prueba 2,55x.</t>
  </si>
  <si>
    <t>Casos</t>
  </si>
  <si>
    <t>Nahue con la orden de compra de un pedido propio en una mano y el producto terminado en la otra, en la fábrica: 'Esto sale en el próximo contenedor de Casa Perfecta.' Sin fecha de vencimiento ni urgencia.</t>
  </si>
  <si>
    <t>CONFIANZA-EN-VIVO</t>
  </si>
  <si>
    <t>4 de 14 calls nombran a Woker como referencia previa; Juan y socios dudaron porque a otro le bajaron de 2.000 a 900 en la misma reunión. Nicolás descartó a Woker por desconfianza y compra por confianza en Nahue.</t>
  </si>
  <si>
    <t>para realmente dar el paso, me hace falta esa confianza</t>
  </si>
  <si>
    <t>Segundo 0 · captura de Mercado Libre del mismo producto con precio y vendidos, [SLOT precio en Mercado Libre] pesos · cuando contesta el vendedor · acá [SLOT precio en el stand] dólares · antes del cierre · falta flete, impuestos y comisión</t>
  </si>
  <si>
    <t>Nicolás Alejandro Pérez · Fran 2026-10 [10:34] https://fathom.video/calls/871941649?timestamp=634 (verificado en transcript c4)</t>
  </si>
  <si>
    <t>Confía en quien lo ve haciendo. Pasa por mostrar el lugar y el día de hoy, nunca material viejo. Sin nombrar a ningún competidor.</t>
  </si>
  <si>
    <t>Stand de la feria o puesto de un mercado mayorista, con un producto que hoy se vende en Mercado Libre en la mano de Nahue y el vendedor a cuadro diciendo el precio en cámara. El rubro depende del día. El 27-oct es el último día de la fase 2 (hogar, bazar, cocina, decoración, regalos) y del 31-oct al 4-nov va la fase 3 (bolsos, oficina, deporte, accesorios de mascota). Electrónica e iluminación ya no están en la feria y van en un mercado de Shenzhen o Guangzhou. La captura de Mercado Libre la saca el editor en Argentina el día que se publica.</t>
  </si>
  <si>
    <t>ACCIÓN 0-3 s · producto ya en la mano, sin saludo a cámara, Nahue le pregunta el precio al vendedor. La captura de Mercado Libre ya está en pantalla.
ACCIÓN 3-8 s · el vendedor lo dice o lo marca en la calculadora y la cámara lo toma.
NAHUE TOCA 8-14 s · repite el número en castellano. Gente, este mismo en Mercado Libre está a tanto.
NAHUE TOCA 14-21 s · súper barato, pero pará, antes de hacernos los vivos, a esto le falta ponerlo en Argentina, el flete, los impuestos y lo que te cobra Mercado Libre, que es bastante caro (molde suyo, 8-oct-2025).
NAHUE TOCA 21-25 s · keyword a cámara.</t>
  </si>
  <si>
    <t>Si querés la cuenta hecha de un producto así puesto en Argentina, comentá GUIA (entrega la calculadora con la cuenta hecha, calculadora.creatubrand.com; el setter abre con una pregunta directa y la herramienta va pegada a esa pregunta)</t>
  </si>
  <si>
    <t>20-25 s</t>
  </si>
  <si>
    <t>2025-04-19</t>
  </si>
  <si>
    <t>Nahue dice en cámara que el precio de fábrica todavía no es el costo puesto en Argentina, y no dice cuánto se gana. El producto de Mercado Libre tiene que ser el mismo o uno igual dicho así, chequeado antes de grabar. Sin tarjeta acá, esa mecánica queda para 'La tarjeta que tu mayorista no te pasa'. Permiso del vendedor antes de grabarle la cara. 'Si supieras lo barato' y 'te enojás' son de Nico y ya decayeron (12,87x a 1,65x), no se usan. Conviene grabar la mecánica con 3 productos el mismo día y publicar otro, en otra semana, con la apertura de Nahue en la feria 2025 ('Gente, miren este producto que acabamos de encontrar acá', 15 de 15 sobre la mediana). No va la misma semana que 'Dejá de multiplicar por cuatro' ni que 'Lo compraba a 18 y ahora a 30'. GUIA está en cuarentena desde el 29-sep hasta que Tincho la levante: si no la levanta, el CTA pasa a COSTOS (auditoría de costos). Slots · [SLOT precio en el stand, lo dice el vendedor en cámara] · [SLOT precio del mismo producto en Mercado Libre, captura del día de publicación] · [SLOT si el precio es por unidad o por caja, lo aclara Nahue].</t>
  </si>
  <si>
    <t>Gente, hablando de productos ganadores que se pueden encontrar en China, miren esta marcadora láser, está buenísima. Si</t>
  </si>
  <si>
    <t>Nahue a cámara frente a un cartel o pantalla de la feria que muestre el día y el lugar: 'Hoy, acá, esto estoy mirando.' Una toma de 20 segundos con la fecha visible. No usar material de la feria 2025.</t>
  </si>
  <si>
    <t>MIEDO-AL-PROVEEDOR</t>
  </si>
  <si>
    <t>[EN CHINA, probable] Muestra una marcadora láser en uso: grabado en plástico, chapa y piedra. Producto en mano, 'miren'. Es el reel más visto de la cuenta.</t>
  </si>
  <si>
    <t>6 de 10 seguimientos frenan por miedo a equivocarse. Banco de septiembre: '¿y si el chino me caga?' fue el miedo #1 (38% de las calls) y no tiene pieza. Luis (fábrica nacional) lo llama incertidumbre a lo desconocido.</t>
  </si>
  <si>
    <t>es una cuestión de incertidumbre a lo desconocido</t>
  </si>
  <si>
    <t>Luis Lee · Joaco 2026-10-23 [15:07] https://fathom.video/calls/871951624?timestamp=907 (verificado en transcript c14)</t>
  </si>
  <si>
    <t>A GRABAR</t>
  </si>
  <si>
    <t>https://www.instagram.com/reel/DIogC7SNu9d/</t>
  </si>
  <si>
    <t>Teme al proveedor que no conoce. La fábrica real con gente trabajando es la respuesta más corta a cómo sabés que existe.</t>
  </si>
  <si>
    <t>Nahue recorre una fábrica en funcionamiento con el dueño: '¿Cómo sabés que tu proveedor existe? Así se ve uno que existe.' Una toma con línea de producción de fondo.</t>
  </si>
  <si>
    <t>ACTUALIDAD-PUERTO</t>
  </si>
  <si>
    <t>El reel de ARCA y los puertos (21-oct) fue el mejor reel de la semana con 6.163 views. Regulatorio y actualidad tienen mediana histórica de 12.395 views. 18 de 62 fichas mencionan miedo a aduana, pero ese tema es objeción de la llamada y no ángulo de feed; AD 12 policía aduanera costó 207K por conversación.</t>
  </si>
  <si>
    <t>2025-04-20</t>
  </si>
  <si>
    <t>el único miedo que se tiene este último tiempo fue el tema de aduana</t>
  </si>
  <si>
    <t>Fernando Heredia · Fran 2026-09-15 [01:28] (rec 183414749, ficha)</t>
  </si>
  <si>
    <t>Miren este producto que está probando Nachito acá. Es para poder practicar batería. La verdad que está muy</t>
  </si>
  <si>
    <t>Solo vale como noticia del día desde el puerto, nunca como tema de aduana en abstracto. Si no pasa nada nuevo esa semana, no se graba.</t>
  </si>
  <si>
    <t>[EN CHINA, probable] Otra persona prueba una batería electrónica y un piano didáctico; Nahue comenta.</t>
  </si>
  <si>
    <t>Ya importa de a poco</t>
  </si>
  <si>
    <t>baja</t>
  </si>
  <si>
    <t>Nahue filmando un puerto o patio de contenedores con lo que cambió esta semana: 'Esto pasó hoy en el puerto.' Una toma de 20 segundos y solo si hay novedad real.</t>
  </si>
  <si>
    <t>EMPLEO-CIERRE</t>
  </si>
  <si>
    <t>https://www.instagram.com/reel/DIrGmdGtSjp/</t>
  </si>
  <si>
    <t>'Salir del empleo' es el motivo de compra en 20 de 62 fichas (65% del sin negocio) pero como gancho no rinde: 3 piezas de Nahue a 0,63x y 4 de Nico a 0,23x. Entra por pool, poca plata y qué producto.</t>
  </si>
  <si>
    <t>ahora es como que me agoté, digamos, de esto, de relación de dependencia, entonces dije, quiero tomar algo ya y hacerlo ya</t>
  </si>
  <si>
    <t>Victor Ramírez · Joaquin Carrasco 2026-09-16 [03:46] (rec 183786937, ficha)</t>
  </si>
  <si>
    <t>2025-04-21</t>
  </si>
  <si>
    <t>Es el por qué de fondo pero no abre un video. Sirve como última frase de una pieza de producto.</t>
  </si>
  <si>
    <t>Situación real</t>
  </si>
  <si>
    <t>Vamos a ver cómo se cambia la imagen de acá, de estas mochilas. Miren, hablando de productos ganadores</t>
  </si>
  <si>
    <t>Demo de mochilas con pantalla configurable por app, con el vendedor explicando.</t>
  </si>
  <si>
    <t>https://www.instagram.com/reel/DIttH1Tv4l-/</t>
  </si>
  <si>
    <t>Cierre de 5 segundos al final de otra toma, Nahue a cámara: 'Esto se hace con un trabajo de 9 a 6.' Se graba como remate extra, no como pieza.</t>
  </si>
  <si>
    <t>2025-04-27</t>
  </si>
  <si>
    <t>Dejá de multiplicar por cuatro</t>
  </si>
  <si>
    <t>Gente, estamos acá con Ale y encontramos esta silla. Miren el precio de esta silla, Eimer, es increíble.</t>
  </si>
  <si>
    <t>[EN CHINA, probable] Muestra una silla, habla del precio y dice que la busquen en Mercado Libre para comparar.</t>
  </si>
  <si>
    <t>3 de 14 calls de la semana ya hicieron un curso y no arrancaron; en el mes anterior, 5 de 62 fichas dicen 'pagué un curso y no importé'. La regla de multiplicar el precio de allá por 4 o por 5 no cierra contra los precios de Mercado Libre y frenó un año a quien la aprendió. Frase de call, 'me decían que tenía que el precio de allá multiplicarlo por 4 o por 5 para poder ponerme a vender acá ... yo no iba a entrar nunca en la competencia porque no me daban los números'.
(Insight REGLA-DEL-4 · calls del 19 al 23-oct (n=14) · fichas del mes anterior (n=62) · frase verificada textual en el transcript de un lead que todavía no importó)</t>
  </si>
  <si>
    <t>https://www.instagram.com/reel/DI9LBPzvGKp/</t>
  </si>
  <si>
    <t>problema</t>
  </si>
  <si>
    <t>2025-04-29</t>
  </si>
  <si>
    <t>(producto y calculadora del vendedor en la mano, en el puesto) Dejá de multiplicar por cuatro el precio de China.</t>
  </si>
  <si>
    <t>Gente, muchos me preguntan qué es Ibu y esto básicamente es Ibu. Son galpones enormes, está lleno de</t>
  </si>
  <si>
    <t>el precio de allá multiplicarlo por 4 o por 5 (alguien que todavía no importó) / Por 4 · [SLOT resultado con la regla] / Cuenta completa · [SLOT costo puesto en Argentina]</t>
  </si>
  <si>
    <t>[EN CHINA] Recorre el mercado de Yiwu (Ibu): galpones, locales de monederos y bolsos, y avisa que la calidad no es lo primordial. Tour, sin precio.</t>
  </si>
  <si>
    <t>Puesto de un mercado mayorista (Yiwu si está en el recorrido; si no, los mercados mayoristas de Guangzhou) o stand de la feria, con un producto chico que tenga un igual en Mercado Libre y la calculadora del vendedor.</t>
  </si>
  <si>
    <t>ACCIÓN 0-3 s · Nahue a cámara con el producto y la calculadora del vendedor, frase del lead en pantalla.
ACCIÓN 3-10 s · le pregunta el precio, el vendedor lo marca en la calculadora y la gira a cámara.
NAHUE TOCA 10-20 s · con la regla del cuatro lo tendrías que vender a tanto, en Mercado Libre está más barato, y entonces no lo traés nunca.
PREGUNTA (off) 20-22 s · che Nahue, y entonces cómo la hago?
NAHUE TOCA 22-32 s · flete, impuestos y lo que te cobra Mercado Libre, y queda en tanto. Volvemos a lo mismo, la cuenta se hace producto por producto. Keyword.</t>
  </si>
  <si>
    <t>https://www.instagram.com/reel/DJCRXrYN9zf/</t>
  </si>
  <si>
    <t>Si querés hacer la cuenta de verdad con tu producto, comentá GUIA (entrega la calculadora con la cuenta hecha, calculadora.creatubrand.com)</t>
  </si>
  <si>
    <t>30-35 s</t>
  </si>
  <si>
    <t>2025-10-08</t>
  </si>
  <si>
    <t>Miren qué locura esta oportunidad que acabo de encontrar. Hay un producto que lo están vendiendo en Mercado Libre a 10 dólares.</t>
  </si>
  <si>
    <t>No nombrar a ningún curso ni a quien enseña la regla. Elegir un producto donde la cuenta completa dé distinto que multiplicar por 4; si da parecido, se cambia de producto, y si da que no conviene, se dice igual. Dos números en pantalla como máximo y el precio de Mercado Libre solo dicho (la versión de Nico con la cuenta larga en pantalla hizo 0,35x). 'Dejá de' también es de Nahue (11 videos, el último el 15-oct), pero no se publica la misma semana que otro 'Dejá de' ni que las otras piezas con la calculadora del vendedor. Quien dijo la frase sigue en seguimiento, pedir OK o esperar al cierre. Confirmar que el flow GUIA entrega la calculadora. Slots · [SLOT precio en el puesto, lo marca el vendedor] · [SLOT resultado con la regla del cuatro] · [SLOT costo puesto en Argentina con flete e impuestos, lo calcula y confirma Nahue] · [SLOT precio del mismo producto en Mercado Libre]. GUIA está en cuarentena desde el 29-sep hasta que Tincho la levante: si no la levanta, el CTA pasa a COSTOS (auditoría de costos).</t>
  </si>
  <si>
    <t>https://www.instagram.com/p/Da8v8vmKUkf/</t>
  </si>
  <si>
    <t>[Pantalla de compu, dice 'acá en China encontramos'; ubicación dudosa] Compara el producto de ML (10 USD, 5.000 vendidos) con el fabricante de Ibu (32 centavos) y después estima los costos puestos en Argentina.</t>
  </si>
  <si>
    <t>https://www.instagram.com/reel/DPja4K6kvDo/</t>
  </si>
  <si>
    <t>2025-10-16</t>
  </si>
  <si>
    <t>Esta está en el top de preguntas que me hacen. Nahue, ¿para qué viajas a China? Es una excelente pregunta.</t>
  </si>
  <si>
    <t>[SOBRE CHINA, no grabado allá] Talking head: no vamos a buscar productos sino a mantener la relación con los proveedores que dan el crédito.</t>
  </si>
  <si>
    <t>https://www.instagram.com/reel/DP39ahWESyI/</t>
  </si>
  <si>
    <t>2025-10-21</t>
  </si>
  <si>
    <t>Nahue, la gente quiere saber qué es lo primero que ves a la hora de traer un producto.</t>
  </si>
  <si>
    <t>[SOBRE CHINA, no grabado allá] Talking head: no traigas lo que ya se vende, todos compiten por precio.</t>
  </si>
  <si>
    <t>Lo compraba a 18 y ahora a 30</t>
  </si>
  <si>
    <t>https://www.instagram.com/reel/DQE1QUiEiI0/</t>
  </si>
  <si>
    <t>5 de 14 calls compran a un mayorista o importador y ven el margen bajar, y 'la cuenta y el margen' mueve la compra en 11 de 62 fichas. En el banco de septiembre, el margen revendiendo local quedaba en 15% contra 80-120% importando. Frase de call, 'yo lo compraba a 18.000 pesos y lo vendía en 38, por decirte, y ahora sale uno similar, me sale 30.000 pesos'.
(Insight MARGEN-SE-ACHICA · calls del 19 al 23-oct (n=14) · fichas del mes (n=62) · banco de septiembre · frase verificada textual en el transcript de una lead con comercio de bazar que le compra al importador)</t>
  </si>
  <si>
    <t>2025-10-22</t>
  </si>
  <si>
    <t>Miren esta idea de negocio súper millonaria. Esto es exactamente un panel en el cual vos lo podés poner en reemplazo</t>
  </si>
  <si>
    <t>[EN CHINA, Feria de Cantón] Muestra un panel eléctrico intercambiable con sensor, producto en mano; promete compartir proveedores cuando termine la feria.</t>
  </si>
  <si>
    <t>https://www.instagram.com/reel/DQIMPFTk1f0/</t>
  </si>
  <si>
    <t>(la frase en pantalla desde el segundo 0; Nahue, con un producto de bazar en la mano y sin celular, la señala y la lee como cita) Yo lo compraba a 18.000 pesos y lo vendía en 38 ... y ahora sale uno similar, me sale 30.000 pesos.</t>
  </si>
  <si>
    <t>2025-10-23</t>
  </si>
  <si>
    <t>Segundo 0 · 'yo lo compraba a 18.000 pesos y lo vendía en 38 ... y ahora sale uno similar, me sale 30.000 pesos' (alguien que le compra al importador) · cuando marca el vendedor · acá, uno parecido [SLOT] · antes del cierre · y vos a cuánto lo pagás?</t>
  </si>
  <si>
    <t>Story time de cómo conocí al proveedor que hoy en día me financia por 60 días la mercadería.</t>
  </si>
  <si>
    <t>Pasillo de bazar, limpieza o cocina de un mercado mayorista (Yiwu si está en el recorrido; si no, un mercado de Guangzhou), con productos de reposición apilados. Nahue con un producto de bazar en la mano y el vendedor marcando el precio en su calculadora.</t>
  </si>
  <si>
    <t>[EN CHINA, Guangzhou] Cuenta a cámara el story time del café del aeropuerto de Guangzhou donde conoció al proveedor que hoy lo financia.</t>
  </si>
  <si>
    <t>ACCIÓN 0-3 s · Nahue en el pasillo con el producto en la mano; la frase entra en pantalla en el segundo 0, como frase y sin maquetar un chat.
NAHUE TOCA 3-8 s · la señala y la lee tal cual, como cita.
NAHUE TOCA 8-14 s · le pregunta al vendedor el precio de uno parecido y la calculadora va a cámara. Aclara que no es el mismo producto.
NAHUE TOCA 14-24 s · a cámara. Y vos a cuánto lo pagás? Cada vez que el que te vende sube, el margen lo ponés vos, porque el precio de venta no lo podés subir. Al fin de cuentas tu margen lo decide él. Keyword al final.</t>
  </si>
  <si>
    <t>Comentá GUIA y te paso la cuenta completa para que veas cuánto te quedaría trayéndolo vos (entrega la calculadora, calculadora.creatubrand.com)</t>
  </si>
  <si>
    <t>20-30 s</t>
  </si>
  <si>
    <t>https://www.instagram.com/reel/DQJxP7WEsOV/</t>
  </si>
  <si>
    <t>La frase va en pantalla con un solo atributo y se lee tal cual, sin celular, porque salió de una llamada y no de un DM. El producto de la mano no es el de la lead, Nahue lo dice y no pone sus 30.000 contra el precio del vendedor como si fuera el mismo. No prometer margen. La lead sigue en seguimiento, pedir OK o esperar al cierre antes de publicar su frase. No va la misma semana que las otras dos piezas con la calculadora del vendedor. Confirmar que el flow GUIA entrega la calculadora. Slots · [SLOT precio por unidad del producto parecido, lo marca el vendedor] · [SLOT cuánto queda puesto en Argentina, solo si Nahue lo calcula; si no, no se dice]. GUIA está en cuarentena desde el 29-sep hasta que Tincho la levante: si no la levanta, el CTA pasa a COSTOS (auditoría de costos).</t>
  </si>
  <si>
    <t>https://www.instagram.com/p/DdXUUEvqlzx/</t>
  </si>
  <si>
    <t>Después de venir 4 años a China, 2 veces al año y después de haber importado más de 40 containers argentinas, este es el mejor consejo</t>
  </si>
  <si>
    <t>[EN CHINA] A cámara desde la feria: no vengas a 'caminarte la feria', vení con el producto claro. Abre con credencial pero rinde 1,03x.</t>
  </si>
  <si>
    <t>https://www.instagram.com/reel/DQIbYwIE6x0/</t>
  </si>
  <si>
    <t>2025-10-27</t>
  </si>
  <si>
    <t>Gente, miren esta terrible oportunidad de negocio que tengo acá. ¿Saben lo que son estos? Son lentes de sol</t>
  </si>
  <si>
    <t>[EN CHINA] Lentes de sol con parlante y traducción, producto en mano, pregunta retórica al arranque.</t>
  </si>
  <si>
    <t>https://www.instagram.com/reel/DQU0hPHkmUT/</t>
  </si>
  <si>
    <t>2025-10-28</t>
  </si>
  <si>
    <t>Porquería este celular, eh. Es un mini iPhone 18. Súper chiquito. Cuando te lo pones a ver, está bueno</t>
  </si>
  <si>
    <t>[EN CHINA] Prueba un mini celular con Spring (agente) y le pregunta el precio en cámara: 20 USD.</t>
  </si>
  <si>
    <t>https://www.instagram.com/reel/DQXQWP4kvQ2/</t>
  </si>
  <si>
    <t>2025-10-29</t>
  </si>
  <si>
    <t>Miren este producto que acabamos de encontrar en Huashan Bay. En Mercado Libre lo están vendiendo a 75 mil pesos.</t>
  </si>
  <si>
    <t>[EN CHINA, Huashan Bay] Producto en mano; compara 75 mil pesos en ML contra 10 dólares allá y cuenta la regla de compra mínima de 10 unidades.</t>
  </si>
  <si>
    <t>LISTAS · dropdowns del RODAJE CHINA</t>
  </si>
  <si>
    <t>https://www.instagram.com/reel/DQX0usIkkJG/</t>
  </si>
  <si>
    <t>2025-10-30</t>
  </si>
  <si>
    <t>Gente, miren este producto que acabamos de encontrar acá. ¿Vieron que ahora se pusieron de moda los lentes de meta, los Ray-Ban?</t>
  </si>
  <si>
    <t>[EN CHINA] Lentes con cámara y traducción; se los prueba y habla con Spring en español/chino para demostrar la traducción.</t>
  </si>
  <si>
    <t>https://www.instagram.com/reel/DQc9gUrDZ40/</t>
  </si>
  <si>
    <t>Miren esta terrible oportunidad de negocio. Auriculares inalámbricos traductores que traducen el momento.</t>
  </si>
  <si>
    <t>BLOQUE 2 · 2 · PROVEEDOR</t>
  </si>
  <si>
    <t>[EN CHINA, mercado de Shenzhen] Pantalla de ML con precios (65 a 80 mil pesos) y después pregunta el precio allá: 60 RMB, menos de 10 dólares.</t>
  </si>
  <si>
    <t>https://www.instagram.com/reel/DQcVTOmAJwo/</t>
  </si>
  <si>
    <t>2025-11-01</t>
  </si>
  <si>
    <t>Miren esta terrible oportunidad de negocio que tenemos acá. Esto es una selladora al vacío. ¿Cómo funciona esto?</t>
  </si>
  <si>
    <t>[EN CHINA, feria] Demuestra la selladora al vacío funcionando, bolsas personalizadas; cierra con 'lista de 30 productos que vi en la feria'.</t>
  </si>
  <si>
    <t>https://www.instagram.com/reel/DQhWCNRjRN2/</t>
  </si>
  <si>
    <t>Gente, miren la terrible oportunidad de negocio que acabo de encontrar acá. Encima los precios están buenísimos.</t>
  </si>
  <si>
    <t>[EN CHINA, Canton Fair] Muestra los sillones que se comprimen al vacío; menciona la lista de 30 productos.</t>
  </si>
  <si>
    <t>https://www.instagram.com/reel/DQfjQI6jSzQ/</t>
  </si>
  <si>
    <t>2025-11-02</t>
  </si>
  <si>
    <t>Importadores me vienen preguntando un montón por lámparas de este estilo. Miren la terrible oportunidad que hay acá de precio.</t>
  </si>
  <si>
    <t>[EN CHINA] Lámparas con caja customizable con logo; abre con 'me preguntan' sin mostrar mensaje. Hook 63 pero solo 1,01x de views.</t>
  </si>
  <si>
    <t>https://www.instagram.com/reel/DQiIYbHjcey/</t>
  </si>
  <si>
    <t>2025-11-04</t>
  </si>
  <si>
    <t>Miren este terrible producto que acabo de encontrar acá en China, en la Feria de Cantón. Es un producto que es ideal, por ejemplo, para mi perro.</t>
  </si>
  <si>
    <t>[EN CHINA, Feria de Cantón] Chaleco para perro con compartimento de hielo; lo vincula a su propio perro y al verano argentino.</t>
  </si>
  <si>
    <t>GRABADO</t>
  </si>
  <si>
    <t>https://www.instagram.com/reel/DQni_oeDaxm/</t>
  </si>
  <si>
    <t>solución</t>
  </si>
  <si>
    <t>A EDITAR</t>
  </si>
  <si>
    <t>Miren qué locura este producto. Me da ganas de llevarme una muestra para casa. Fíjense que es una parrilla.</t>
  </si>
  <si>
    <t>producto</t>
  </si>
  <si>
    <t>[EN CHINA, Canton Fair] Parrilla plegable que se vuelve maletín; la pliega en cámara y dice que extraña la carne argentina.</t>
  </si>
  <si>
    <t>PUBLICADO</t>
  </si>
  <si>
    <t>otro/mentalidad</t>
  </si>
  <si>
    <t>DESCARTADA</t>
  </si>
  <si>
    <t>La tarjeta que tu mayorista no te pasa</t>
  </si>
  <si>
    <t>5 de 14 calls del 19 al 23-oct le compran a un mayorista o importador y quieren saltar un eslabón; en el mes anterior, 11 de 62 fichas traen 'proveedor me compite'. Frase de call, 'llegar al mayorista es como casi el último eslabón de la cadena'.
(Insight SALTO-ESLABON · calls del 19 al 23-oct (n=14) · fichas del mes anterior (n=62) · frase verificada textual en el transcript de un lead que le compra al mayorista)</t>
  </si>
  <si>
    <t>https://www.instagram.com/reel/DQpWiV3kVAn/</t>
  </si>
  <si>
    <t>(producto ya en la mano, sin saludo a cámara, al vendedor, subtitulado) How much is this one?</t>
  </si>
  <si>
    <t>2025-11-18</t>
  </si>
  <si>
    <t>Segundo 0 · 'llegar al mayorista es como casi el último eslabón de la cadena' (alguien que le compra al mayorista) · [SLOT producto] · cuando contesta el vendedor · [SLOT precio] por unidad · con la tarjeta en la mano · el primer eslabón</t>
  </si>
  <si>
    <t>Stand de la feria con un producto que en Argentina se le compra al mayorista. El 27-oct (fase 2), organizador de cocina, bazar u hogar; del 31-oct al 4-nov (fase 3), bolsos, oficina o deporte. Lámparas y accesorios de celular ya no están en la feria; si se quiere ese rubro, va en un mercado de Guangzhou o Shenzhen. El vendedor a cuadro marcando el precio en su calculadora o su celular, y su tarjeta.</t>
  </si>
  <si>
    <t>¿Se acuerdan de este terrible productazo que vimos en China el año pasado? ¿Lo pueden ver acá abajo?</t>
  </si>
  <si>
    <t>ACCIÓN 0-3 s · la cámara entra con Nahue ya en el stand y el producto en la mano, sin saludo ni presentación. Le pregunta el precio en inglés.
ACCIÓN 3-8 s · el vendedor lo dice o lo marca en la calculadora y la cámara lo enfoca.
ACCIÓN 8-11 s · Nahue le pide la tarjeta (can I have your card?) y la pone delante de la cámara.
NAHUE TOCA 11-20 s · a cámara. Esta tarjeta tu mayorista no te la va a mostrar nunca. Comprando en el mercado local, lo único que estás haciendo es ser el último en la cadena (frase suya, 28-ago-2026), y cada uno en el medio le pone su margen.
NAHUE TOCA 20-24 s · keyword al final, sin vueltas.</t>
  </si>
  <si>
    <t>[SOBRE CHINA, pieza de seguimiento] Anuncia que Laserpecker le dio la representación oficial en Argentina tras visitar fábricas; llama a sumarse a la distribución. Retoma el producto del reel de 138K.</t>
  </si>
  <si>
    <t>Comentá COSTOS y te paso la auditoría de costos para que veas cuánto le dejás por mes al que te vende (entrega impo-auditoria-costos.netlify.app; el setter abre con una pregunta y el link va después)</t>
  </si>
  <si>
    <t>15-25 s</t>
  </si>
  <si>
    <t>https://www.instagram.com/reel/DRNm4VqkQTZ/</t>
  </si>
  <si>
    <t>Una sola pregunta al vendedor y el segundo tiempo es la tarjeta, como en el reel de Nico (precio y tarjeta en 10 s, una toma). No decir que ese vendedor es el proveedor del mayorista de nadie, la idea es que la cadena empieza en un puesto así. Decir mayorista o importador, que es como hablan los leads. Permiso antes de filmar la cara del vendedor, y que no se lea el teléfono ni el nombre de la empresa en la tarjeta si no autoriza. El precio de feria no se presenta como costo puesto en Argentina. En Nico este formato casi no trae comentarios (0,23 cada 1.000 views), por eso la keyword va al final y también en el caption. Quien dijo la frase sigue en seguimiento, pedir OK o esperar al cierre. Misma firma y mismo COSTOS que 'A quién le vende esta fábrica', no van en la misma semana. Confirmar que el flow COSTOS está activo (figuraba pendiente) y que Nahue confirmó los porcentajes de la auditoría. Slots · [SLOT precio por unidad, lo dice el vendedor en cámara y se subtitula tal cual] · [SLOT producto que el que ya vende le compra hoy al mayorista y que esté en la fase de la feria de ese día, lo elige Nahue].</t>
  </si>
  <si>
    <t>2025-11-22</t>
  </si>
  <si>
    <t>Vos el día de mañana si haces negocios en otro país, por ejemplo en Estados Unidos o donde vos quieras, esa sociedad</t>
  </si>
  <si>
    <t>[SOBRE CHINA] Explica la sociedad de Hong Kong como base para pagar a proveedores. Explicación a cámara, sin producto.</t>
  </si>
  <si>
    <t>https://www.instagram.com/reel/DRYH9kIDVhk/</t>
  </si>
  <si>
    <t>2025-11-25</t>
  </si>
  <si>
    <t>Gente, miren lo que acabo de encontrar acá en la feria. Oportunidad de negocio. Yo hubiese soñado con tener uno de estos de chico.</t>
  </si>
  <si>
    <t>[EN CHINA, feria] Autos eléctricos mini para chicos, pregunta el precio en cámara (67 USD) y cuántas unidades entran por container de 40 pies (271).</t>
  </si>
  <si>
    <t>https://www.instagram.com/reel/DRdxUyxDbsy/</t>
  </si>
  <si>
    <t>2026-04-24</t>
  </si>
  <si>
    <t>En este momento estamos yendo desde Hong Kong, acá podemos ver, estamos yendo de Hong Kong acá a Guangzhou.</t>
  </si>
  <si>
    <t>[EN CHINA, en tránsito] Cuenta el recorrido Hong Kong a Guangzhou a la fase 2 de la Feria y rebate que la feria es cara. Escena de viaje, sin producto.</t>
  </si>
  <si>
    <t>https://www.instagram.com/reel/DXhaKMoCqxP/</t>
  </si>
  <si>
    <t>2026-04-26</t>
  </si>
  <si>
    <t>¿Dónde estás en el mercado? Argentina Argentina Nos vendemos a la venta ¿Qué venta? Por mayor Si le vendes online</t>
  </si>
  <si>
    <t>[EN CHINA] Negociación en vivo con una vendedora: el audio abre con la pregunta del vendedor y la regla de decir que compran por mayor para conseguir precio.</t>
  </si>
  <si>
    <t>https://www.instagram.com/reel/DXnMyowjXZH/</t>
  </si>
  <si>
    <t>2026-04-28</t>
  </si>
  <si>
    <t>¿Cuánto? Aún 5 centos. En realidad estamos comprando de otro asesor y estamos pagando US$0.9 por 30 sheets.</t>
  </si>
  <si>
    <t>[EN CHINA] Negociación de calidad en vivo de laundry sheets: rechazan el precio y piden muestras.</t>
  </si>
  <si>
    <t>Nadie te lo reserva</t>
  </si>
  <si>
    <t>https://www.instagram.com/reel/DXqFe-3ipYp/</t>
  </si>
  <si>
    <t>El quiebre de stock aparece en 6 de 62 fichas como 'proveedor sube precio o sin stock' y el banco de septiembre lo midió en el 48% de las calls. AD 15 proveedor se escaló el 20-oct (31K por conversación en 7 días). Frase de call, 'nadie te lo reserva, por más de que seas cliente desde hace tiempo'.
(Insight QUIEBRE-STOCK · fichas del mes (n=62) · banco de septiembre · AD 15 · frase verificada textual en la call del 23-oct (Fathom 872714434) de un lead que vende iluminación y decoración)</t>
  </si>
  <si>
    <t>2026-04-29</t>
  </si>
  <si>
    <t>Muchos agarran y me preguntan, che Nahue, vos acá estás anotando el precio, pero este es el precio de Foubi en China</t>
  </si>
  <si>
    <t>[EN CHINA] Explica a cámara cómo calcula rápido cuánto queda puesto en Argentina mientras anota precios en el lugar. Apertura con pregunta de seguidor.</t>
  </si>
  <si>
    <t>OFF · Cuando mi importador se queda sin stock, nadie me lo reserva. Qué hago? · (Nahue ya al lado de la línea o entre las cajas de un pedido propio, agarra una unidad terminada)</t>
  </si>
  <si>
    <t>Segundo 0 · 'nadie te lo reserva, por más de que seas cliente desde hace tiempo' (alguien que vende iluminación) · cuando toca las cajas · esto lo pido yo</t>
  </si>
  <si>
    <t>Fábrica de un proveedor de Casa Perfecta con la línea produciendo un pedido propio, o el depósito con esas cajas listas para cargar. Nahue camina al lado y agarra una unidad terminada. Si es la misma fábrica que 'Así se ve un proveedor que existe', se graban el mismo día.</t>
  </si>
  <si>
    <t>https://www.instagram.com/reel/DXuk2lwCgBC/</t>
  </si>
  <si>
    <t>PREGUNTA (off) 0-3 s · cuando mi importador se queda sin stock, nadie me lo reserva. Qué hago?
ACCIÓN 3-7 s · Nahue al lado de la línea o entre las cajas del pedido, agarra una unidad terminada.
NAHUE TOCA 7-12 s · esto no me lo reserva nadie, lo pido yo y sé cuándo sale.
NAHUE TOCA 12-16 s · opcional, al proveedor, when is the next batch ready? Los días en pantalla, solo si Nahue quiere mostrarlos.
NAHUE TOCA 16-26 s · si tu producto estrella lo trae otro y a él se le acaba, se te acaba a vos, y encima le estás dando lugar a la competencia que se posicione ahí mientras vos no tenés stock (frase suya desde 'y encima', 27-abr-2026).
NAHUE TOCA 26-32 s · al fin de cuentas vos no estás manejando tu negocio, te lo está manejando el proveedor (frase suya, 13-ago-2026). Keyword al final.</t>
  </si>
  <si>
    <t>Si tu producto estrella depende del stock de otro, comentá YO y te cuento cómo es la consultora de 6 meses (YO, el setter abre con una pregunta directa, sin precio ni vencimiento)</t>
  </si>
  <si>
    <t>25-35 s</t>
  </si>
  <si>
    <t>¿Todo bien? Sí, yo le compro este. Este, pero con la puerta transparente le compro. Ah, tipo así.</t>
  </si>
  <si>
    <t>[EN CHINA] Pide una modificación (puerta transparente) y cuenta la versión exclusiva en negro de octubre. Diálogo con fabricante.</t>
  </si>
  <si>
    <t>La pregunta va en off y en primera persona, la hace el filmmaker y no se presenta como de un cliente, nunca 'me escribió uno que'. Las cajas y la línea tienen que ser de un pedido propio de Casa Perfecta; tapar marcas, códigos y datos del proveedor. No prometer que con la consultora nunca se quiebra stock. La cifra de contenedores por mes no se dice sin OK de Tincho. Quien dijo la frase sigue en seguimiento, pedir OK o esperar al cierre. Slots · [SLOT que la línea o las cajas sean de un pedido de Casa Perfecta de esta semana, confirma Nahue] · [SLOT días hasta la próxima tanda, lo dice el proveedor y solo si Nahue los quiere mostrar].</t>
  </si>
  <si>
    <t>https://www.instagram.com/p/DeW98IIosuT/</t>
  </si>
  <si>
    <t>https://www.instagram.com/reel/DXu95asNmaZ/</t>
  </si>
  <si>
    <t>Eléctrico. ¿Puedes modificar el speed? ¿Puedes modificar el speed o solo una speed? Solo una speed.</t>
  </si>
  <si>
    <t>[EN CHINA] Preguntas técnicas y precio a un vendedor de un trapeador eléctrico. Diálogo puro.</t>
  </si>
  <si>
    <t>https://www.instagram.com/reel/DXspXjXCpoA/</t>
  </si>
  <si>
    <t>2026-04-30</t>
  </si>
  <si>
    <t>Vos agarrás un grupo reducido de 10 personas más o menos, le decís que vas a vender esto de distintas zonas</t>
  </si>
  <si>
    <t>[EN CHINA, dice 'acá en China'] Instrucción a cámara con plan paso a paso: 10 personas, 500 piezas por modelo, crédito de proveedor, cobro en 1-2 semanas. 95 palabras.</t>
  </si>
  <si>
    <t>A quién le vende esta fábrica</t>
  </si>
  <si>
    <t>https://www.instagram.com/reel/DXxYfXxtzQ9/</t>
  </si>
  <si>
    <t>5 de 14 calls de la semana le compran a un mayorista o importador y quieren saltar un eslabón, y en el mes anterior 11 de 62 fichas traen 'mi proveedor me compite'. Acá la prueba de la cadena la da la fábrica en cámara. Los leads dicen importador y mayorista.
(Insight SALTO-ESLABON · calls del 19 al 23-oct (n=14) · fichas del mes anterior (n=62))</t>
  </si>
  <si>
    <t>2026-05-01</t>
  </si>
  <si>
    <t>Uno de los grandes problemas de los productos de mueblería y este tipo de estilos, nosotros por ejemplo vendemos algo así como este</t>
  </si>
  <si>
    <t>NAHUE (al vendedor, con el producto en la mano) · Who buys this from you in Argentina?</t>
  </si>
  <si>
    <t>[EN CHINA, probable] Frente a un mueble no desarmable explica el problema de costo de envío y la solución de pasar a desarmable. Abre con tesis.</t>
  </si>
  <si>
    <t>le pregunto a la fábrica quién le compra en Argentina · al final la cadena fábrica, importador, mayorista, vos</t>
  </si>
  <si>
    <t>Stand de fábrica en la feria con una categoría que en Argentina se compra en mayorista. El 27-oct (fase 2), bazar, cocina u hogar; del 31-oct al 4-nov (fase 3), bolsos, oficina o deporte. Nahue con un producto en la mano y el vendedor a cuadro.</t>
  </si>
  <si>
    <t>ACCIÓN · producto en la mano, Nahue frente al vendedor, arranca con la pregunta.
NAHUE TOCA · al vendedor, who buys this from you in Argentina? La respuesta va subtitulada.
NAHUE TOCA · si dice importadores, ese importador le vende a tu mayorista y tu mayorista a vos. Señala al vendedor, acá empieza la cadena.
NAHUE TOCA · comprando en el mercado local, lo único que estás haciendo es ser el último en la cadena (frase suya, 28-ago-2026).
NAHUE TOCA (cierre) · si ya vendés, comentá COSTOS y te paso la auditoría para ver cuánto le dejás por mes al que te vende.</t>
  </si>
  <si>
    <t>Si ya vendés, comentá COSTOS y te paso la auditoría para ver cuánto le dejás por mes al que te vende (entrega impo-auditoria-costos.netlify.app)</t>
  </si>
  <si>
    <t>Decir importador o mayorista, que es como hablan los leads. Permiso para filmar y marca del stand tapada si no quieren salir. Si el vendedor nombra a un cliente o una marca argentina, se silencia y se pixela. Si la respuesta no sirve (no vende a Argentina o no quiere contestar), se prueba en otro stand, no se actúa ni se fuerza. Misma firma y mismo COSTOS que 'La tarjeta que tu mayorista no te pasa', no van en la misma semana. Confirmar el flow COSTOS. Slots · sin cifras propias · [SLOT respuesta del vendedor, se graba lo que diga].</t>
  </si>
  <si>
    <t>https://www.instagram.com/reel/DXzaI8SKbgs/</t>
  </si>
  <si>
    <t>2026-05-02</t>
  </si>
  <si>
    <t>Me gusta este mismo patrón, también el teclón aquí. También aquí. También aquí. Este patrón aquí.</t>
  </si>
  <si>
    <t>[EN CHINA] Diálogo de selección de patrones y precio (11,2 USD) con el proveedor. Sin contexto en los primeros segundos.</t>
  </si>
  <si>
    <t>https://www.instagram.com/reel/DX0QvnsKzIQ/</t>
  </si>
  <si>
    <t>2026-05-06</t>
  </si>
  <si>
    <t>Y si le giro la plata y desaparece</t>
  </si>
  <si>
    <t>Algo muy pero muy común en China es reunirte con la gente que vos querés. En este caso estamos con Spring</t>
  </si>
  <si>
    <t>6 de 10 seguimientos de la semana frenan por miedo a equivocarse. En el banco de septiembre, el miedo a que el proveedor chino te estafe fue el #1 (38% de las calls) y todavía no tiene pieza. Frase de call, 'es una cuestión de incertidumbre a lo desconocido'.
(Insight MIEDO-AL-PROVEEDOR · seguimientos de la semana (n=10) · banco de septiembre · frase verificada textual en el transcript de un lead con fábrica nacional)</t>
  </si>
  <si>
    <t>[EN CHINA] Almuerzo con agentes de compra y envíos en mesa giratoria: costumbre de tratar como familia. Hook rate más bajo de los grabados allá.</t>
  </si>
  <si>
    <t>https://www.instagram.com/reel/DX-l0SmNE36/</t>
  </si>
  <si>
    <t>2026-05-08</t>
  </si>
  <si>
    <t>Esto por ejemplo es una revendedora amigo. Ah, we are together. We are the three together. We are looking for products like this</t>
  </si>
  <si>
    <t>OFF · Y si le giro la plata al proveedor y desaparece? · NAHUE (al vendedor del stand, con el producto en la mano) · Can you send me one sample first? How much?</t>
  </si>
  <si>
    <t>[EN CHINA] Visita a una revendedora y pide mopas con separación de agua sucia/limpia, en inglés. Diálogo.</t>
  </si>
  <si>
    <t>y si le giro la plata al proveedor y desaparece? · después muestra [SLOT] dólares · [SLOT] días</t>
  </si>
  <si>
    <t>Stand de un proveedor nuevo en la feria (27-oct o del 31-oct al 4-nov) o una fábrica funcionando con la línea de fondo. Nahue pide una muestra en cámara.</t>
  </si>
  <si>
    <t>https://www.instagram.com/reel/DYGAsuFNwRY/</t>
  </si>
  <si>
    <t>2026-05-10</t>
  </si>
  <si>
    <t>PREGUNTA (off) 0-3 s · Y si le giro la plata al proveedor y desaparece?
NAHUE TOCA 3-10 s · al vendedor, can you send me one sample first? How much? Precio y días en pantalla.
NAHUE TOCA 10-20 s · en sus palabras, qué le pide él a un proveedor nuevo antes de girarle la primera plata, lo que haga de verdad. Ya lo dijo así, pedir muestras, porque la muestra te va a salvar en un pedido grande (frase suya, 2-oct-2026).
NAHUE TOCA 20-27 s · cuando un proveedor, un fabricante, te falta respeto y no te da pelota o no te quiere vender, es un proveedor totalmente descartado (textual suyo, 28-abr-2026).
NAHUE TOCA 27-32 s · comentá YO y te cuento cómo elegimos proveedor con los clientes de la consultora.</t>
  </si>
  <si>
    <t>Miren esto que es una locura. A mí me gusta mucho mirar acá y también replicar un poco en Argentina</t>
  </si>
  <si>
    <t>Comentá YO y te cuento cómo elegimos proveedor con los clientes de la consultora (YO, el setter abre con una pregunta directa, sin precio ni vencimiento)</t>
  </si>
  <si>
    <t>[EN CHINA, probable] Muestra el panel gigante de métricas en el lobby de una empresa (países, nichos, crecimiento) y dice que lo quiere replicar.</t>
  </si>
  <si>
    <t>https://www.instagram.com/reel/DYIzMABN-Ak/</t>
  </si>
  <si>
    <t>No prometer que nunca te van a estafar. Lo que diga Nahue tiene que ser lo que él hace de verdad, en sus palabras. Permiso para filmar al vendedor. La pregunta en off la hace el filmmaker y no se presenta como de un cliente. Ángulo nuevo, va con etiqueta ManyChat propia y se lee junto a 'Así se ve un proveedor que existe' (otro formato, mismo miedo). Slots · [SLOT precio de la muestra y días de envío, lo dice el vendedor en cámara].</t>
  </si>
  <si>
    <t>2026-05-13</t>
  </si>
  <si>
    <t>https://www.instagram.com/p/DeuYIBKotRp/</t>
  </si>
  <si>
    <t>Estamos acá negociando una nueva línea de productos para nuestra marca. Y algo muy importante que quiero destacar</t>
  </si>
  <si>
    <t>[EN CHINA, fábrica de sartenes] Explica el truco de pedir el precio sin el mango y comprar el mango a otra fábrica.</t>
  </si>
  <si>
    <t>https://www.instagram.com/reel/DYTEt8xtSUn/</t>
  </si>
  <si>
    <t>uh show me the the best seller best seller best seller yeah which one yeah and uh first the beast</t>
  </si>
  <si>
    <t>[EN CHINA] Diálogo en inglés con vendedor y demo de laundry sheet disolviéndose en agua. Arranca con audio de proveedor.</t>
  </si>
  <si>
    <t>https://www.instagram.com/reel/DYQpQDqtjv2/</t>
  </si>
  <si>
    <t>2026-05-22</t>
  </si>
  <si>
    <t>Interview room. Acá se están contratando gente todo el tiempo y tienen salas especiales para entrevistar a la gente</t>
  </si>
  <si>
    <t>[EN CHINA, probable] Recorre las instalaciones de una empresa: sala de entrevistas y lobby con panel de métricas.</t>
  </si>
  <si>
    <t>https://www.instagram.com/reel/DYn2JFBNBpN/</t>
  </si>
  <si>
    <t>2026-05-28</t>
  </si>
  <si>
    <t>¿Cuánto precio? No, no, no. Este es alrededor de 0.8 ¿Dónde está aquí? Aquí no hay el icono</t>
  </si>
  <si>
    <t>Así se ve un proveedor que existe</t>
  </si>
  <si>
    <t>[EN CHINA] Diálogo con proveedor por precio y catálogo; Nahue se presenta como marca argentina. Audio de proveedor al inicio.</t>
  </si>
  <si>
    <t>6 de 10 seguimientos de la semana frenan por miedo a equivocarse y el miedo a que el proveedor chino te estafe fue el #1 del banco de septiembre (38% de las calls), sin pieza propia. Frase de call, 'es una cuestión de incertidumbre a lo desconocido'.
(Insight MIEDO-AL-PROVEEDOR · seguimientos de la semana (n=10) · banco de septiembre · frase verificada textual en el transcript de un lead con fábrica nacional)</t>
  </si>
  <si>
    <t>https://www.instagram.com/reel/DY5nmvaNA56/</t>
  </si>
  <si>
    <t>2026-04-20</t>
  </si>
  <si>
    <t>Bueno, tutorial rápido de cómo conseguir crédito en China para poder financiarse, gracias, de los proveedores.</t>
  </si>
  <si>
    <t>[SOBRE CHINA, no grabado allá] Tutorial a cámara de crédito de proveedores. Abre con 'tutorial rápido'.</t>
  </si>
  <si>
    <t>(en la línea de la fábrica, al filmmaker) Pará. Filmá esto. (saca una pieza de la línea) Lo terminaron recién.</t>
  </si>
  <si>
    <t>Fábrica de un proveedor de Casa Perfecta · [SLOT ciudad]</t>
  </si>
  <si>
    <t>https://www.instagram.com/reel/DXXzopbhsh7/</t>
  </si>
  <si>
    <t>Fábrica funcionando de un proveedor de Casa Perfecta, con la línea andando y el dueño de fondo, con permiso. Si es la misma fábrica que 'Nadie te lo reserva', se graban el mismo día y se publican en semanas distintas.</t>
  </si>
  <si>
    <t>El que te dice que tenés que conseguir el mejor precio en China, te está mitiendo y está haciendo que tu marca</t>
  </si>
  <si>
    <t>ACCIÓN 0-3 s · Nahue frena al filmmaker, saca una pieza de la línea y la muestra a cámara. En pantalla, fábrica de un proveedor de Casa Perfecta y la ciudad.
PREGUNTA (off) 3-6 s · che Nahue, y cómo sé yo que el proveedor existe de verdad?
NAHUE TOCA 6-18 s · así se ve uno que existe, con la línea andando y el dueño acá. Por chat te contesta cualquiera. Yo a mis proveedores los conozco acá, parado en la fábrica.
ACCIÓN 18-22 s · el dueño de fondo, trabajando o saludando, sin entrevista.
NAHUE TOCA 22-26 s · keyword.</t>
  </si>
  <si>
    <t>[SOBRE CHINA] Contrarian a cámara sobre calidad contra precio.</t>
  </si>
  <si>
    <t>Si lo que te frena es que te estafen en la primera compra, comentá YO y te cuento cómo es la consultora de 6 meses (YO, el setter abre con una pregunta directa, sin precio ni vencimiento)</t>
  </si>
  <si>
    <t>https://www.instagram.com/reel/DXkue1jk1y4/</t>
  </si>
  <si>
    <t>Pieza nueva y la más floja del set, el objeto solo prueba que la fábrica existe y anda. Por eso la pregunta en off es si el proveedor existe y no la de girar la plata, que es de 'Y si le giro la plata y desaparece', y se publican separadas. Permiso del dueño para filmar la línea y su cara, nombre de la fábrica y carteles tapados para no regalar la fuente. Que no se vean productos de otras marcas. No prometer que la consultora visita fábricas por el cliente. Cuánto hace que trabajan juntos queda para 'Desde cuándo trabajamos juntos'. Slots · [SLOT ciudad de la fábrica] · [SLOT permiso del dueño para filmar la línea y su cara].</t>
  </si>
  <si>
    <t>2026-04-27</t>
  </si>
  <si>
    <t>Si vos le tenés miedo a importar porque pensás que es mucho dinero e inversión, una barrera de entrada muy alta</t>
  </si>
  <si>
    <t>https://www.instagram.com/p/DdFdRiMAPIy/</t>
  </si>
  <si>
    <t>[SOBRE CHINA] Callout condicional a cámara. Tesis sin escena.</t>
  </si>
  <si>
    <t>https://www.instagram.com/reel/DXniUFUDcFl/</t>
  </si>
  <si>
    <t>Cuando un proveedor, un fabricante, te falta respeto y no te da pelota o no te quiere vender, es un proveedor totalmente descartado.</t>
  </si>
  <si>
    <t>[SOBRE CHINA] Consejo a cámara: cómo descartar un proveedor.</t>
  </si>
  <si>
    <t>https://www.instagram.com/reel/DXsSaBoDZqV/</t>
  </si>
  <si>
    <t>Y capaz que para empezar, si recién estás armando tu negocio, o están haciendo tus primeras compras en China, medio chiquitos</t>
  </si>
  <si>
    <t>[SOBRE CHINA] Consejo sobre agente de compras argentino. El clip abre a mitad de frase, mal cortado.</t>
  </si>
  <si>
    <t>https://www.instagram.com/reel/DYFadudN3gQ/</t>
  </si>
  <si>
    <t>2026-05-12</t>
  </si>
  <si>
    <t>En primer lugar, o sea, si estás mirando directamente en internet y simplemente buscando y eligiendo un proveedor</t>
  </si>
  <si>
    <t>BLOQUE 3 · 3 · CHINA</t>
  </si>
  <si>
    <t>[SOBRE CHINA] Consejo a cámara sobre elegir proveedor. Arranca con 'en primer lugar'.</t>
  </si>
  <si>
    <t>https://www.instagram.com/reel/DYOCtqTNenZ/</t>
  </si>
  <si>
    <t>2026-05-16</t>
  </si>
  <si>
    <t>Lo que decías vos, o sea, uno va formando relación con un trader chino. El trader chino es una persona</t>
  </si>
  <si>
    <t>[SOBRE CHINA] Conversación sobre traders chinos, clip que abre sin contexto.</t>
  </si>
  <si>
    <t>https://www.instagram.com/reel/DYaItSzAF2G/</t>
  </si>
  <si>
    <t>2026-05-19</t>
  </si>
  <si>
    <t>Esto es, lo estoy consiguiendo más barato que la Canton Fair. O sea, este producto lo estoy consiguiendo más económico que la Canton Fair.</t>
  </si>
  <si>
    <t>[SOBRE CHINA, comparando precios a distancia] Muestra que consiguió un producto más barato que en la Feria y explica cómo usa la diferencia para ajustar al fabricante.</t>
  </si>
  <si>
    <t>https://www.instagram.com/reel/DYiY-qitdO6/</t>
  </si>
  <si>
    <t>2026-05-27</t>
  </si>
  <si>
    <t>En realidad el problema no está a nivel mundial que se piensa que China es mala calidad.</t>
  </si>
  <si>
    <t>[SOBRE CHINA] Tesis a cámara sobre calidad china. Abre con 'en realidad'.</t>
  </si>
  <si>
    <t>https://www.instagram.com/reel/DY2c8q5xwnR/</t>
  </si>
  <si>
    <t>MÉTODO: el CSV tiene 468 filas; usé solo REELS con views. Cruzé caption y transcript por China, Cantón, feria, fábrica, Yiwu/Ibu, Shenzhen, Guangzhou, Hong Kong, 'acá en China'. x_mediana = views dividido la mediana de TODOS los reels de Nahue del trimestre de publicación (Q2-2025 20.563 con n=17; Q4-2025 11.413 con n=43; Q2-2026 7.502 con n=65). Esa mediana incluye los propios reels de China, así que el x es conservador. Clasifiqué por lo que dice el transcript, no hay metadata de lugar: 'EN CHINA' = habla o muestra desde allá; 'probable' o 'dudoso' = señal indirecta. Verificar con Nahue antes de citar.</t>
  </si>
  <si>
    <t>n: 49 reels listados = 36 grabados en China (5 de abr-2025, 15 de oct-nov 2025, 16 de abr-may 2026) + 13 reels sobre China hablados a cámara fuera de allá (oct-2025 a may-2026). Hay un tercer viaje implícito en abril 2025 (Yiwu, láser, mochilas); no lo habías mencionado.</t>
  </si>
  <si>
    <t>LO QUE RINDIÓ: los 36 grabados en China tienen mediana de 1,51x (17.848 views) y 33 de 36 superan la mediana de su trimestre. Hook rate mediano 58,1. Los 13 hablados fuera de China tienen mediana 0,94x y hook 43,4; solo 5 de 13 superan 1x.</t>
  </si>
  <si>
    <t>VIAJE OCT-NOV 2025 (n=15 grabados): los 15 superan 1x, mediana 1,64x y hook 59,5 (el resto de los reels de ese trimestre tiene hook mediano 48,0, n=28). Fórmula repetida: 'Miren este producto que acabamos de encontrar acá' + objeto en mano + precio allá contra precio en Mercado Libre (75 mil pesos contra 10 dólares; 65-80 mil pesos contra 60 RMB; 10 USD contra 32 centavos). Mejores: autos eléctricos mini 25-nov 26.074 views (2,28x, hook 66); selladora 21.172 (1,86x); mini celular 20.061 (1,76x).</t>
  </si>
  <si>
    <t>VIAJE ABR-MAY 2026 (n=16 grabados): 15 de 16 superan 1x, pero mediana 1,33x (9.989 views) y hook mediano 51,8; el resto de Q2-2026 tiene hook mediano 36,4 (n=49). Rinde bastante menos por pieza que oct-nov 2025 salvo 4 outliers: instrucción a cámara 'Vos agarrás un grupo reducido de 10 personas' 51.992 views (6,93x); panel de métricas en el lobby de una empresa 33.475 (4,46x); negociación en vivo con la vendedora 24.194 (3,23x); 'así uso mi calculadora en China' 23.884 (3,18x).</t>
  </si>
  <si>
    <t>LO QUE NO RINDIÓ EN 2026: los diálogos con proveedor en inglés o chino sin contexto en el primer segundo (n=5: 8-may revendedora, 13-may laundry sheet, 2-may patrones, 28-may precio, 29-abr trapeador) quedaron entre 1,0x y 1,38x con hook 48-54. Las piezas de escena de viaje o costumbre (24-abr camino a Guangzhou, hook 43,0; 6-may almuerzo con agentes, hook 37,4) tienen el hook más bajo de lo grabado allá. El mejor diálogo (3,23x) abre con la pregunta del vendedor y un tema concreto, no con el producto.</t>
  </si>
  <si>
    <t>LO QUE NO RINDIÓ HABLANDO DE CHINA FUERA DE CHINA: tutorial de crédito 0,54x (hook 31,2), '¿para qué viajas a China?' 0,70x, 'qué es lo primero que ves' 0,64x, 'proveedor descartado' 0,98x, calidad china 0,66x. Todas son consejo o tesis sin escena. Excepciones: Laserpecker 18-nov (2,23x, pieza que retoma un producto ya probado con 138K) y Hong Kong 22-nov (1,59x).</t>
  </si>
  <si>
    <t>TECHO CONOCIDO: el láser del 19-abr-2025 con 138.085 views (6,72x) es producto en mano con 'miren' y hook 68,6. La data de la cuenta coincide: los dos outliers históricos (138K y 123K) son producto concreto o lista concreta de nichos.</t>
  </si>
  <si>
    <t>Quién mira tu mercadería antes de que salga</t>
  </si>
  <si>
    <t>LÍMITES: n chico por tipo (5 a 15). No hay conversión a agenda ni a venta por pieza, solo audiencia. 'follows' no existe para reels. Para decidir qué formato escalar con N≥200 hace falta el cruce del Grupo Estadístico, que no está acá. No usé el material de la carpeta china/ (solo archivos DJI sin metadata de performance).</t>
  </si>
  <si>
    <t>Lo que cierra en las calls es tener a alguien en China, junto con el pool y el acompañamiento, y los closers usan Casa Perfecta como prueba en 12 de 13 calls con transcript. Frase de call, 'Al ser la primera tampoco conozco, no tengo contactos, menos de afuera'.
(Insight CONTACTOS-EN-CHINA · calls del 19 al 23-oct (n=14) · Casa Perfecta como prueba en 12 de 13 calls con transcript · frase verificada textual en el transcript de una lead que todavía no importó)</t>
  </si>
  <si>
    <t>REGLAS DE APERTURA Y QUÉ EVITAR (data de Nahue y de Nico)</t>
  </si>
  <si>
    <t>(en el depósito, a la persona que abre una caja de Casa Perfecta, subtitulado) Pará, pará. Wait. What are you checking?</t>
  </si>
  <si>
    <t>Segundo 0 · 'no tengo contactos, menos de afuera' (alguien que todavía no importó) · Depósito en [SLOT ciudad] · control antes de cargar</t>
  </si>
  <si>
    <t>Depósito del agente o del proveedor. La persona que controla la mercadería de Casa Perfecta abre una caja y revisa una unidad (costura, golpe, color o cantidad). Se graba el mismo día que la parada de depósito de 'Los pasos del medio'.</t>
  </si>
  <si>
    <t>ACCIÓN 0-3 s · ella abre una caja, Nahue entra a cuadro y la frena. Pará, pará. Wait. What are you checking? La frase del lead en pantalla desde el segundo 0.
ACCIÓN 3-12 s · ella saca una unidad y muestra qué revisa. Si aparece una falla de verdad, primer plano.
PREGUNTA (off) 12-15 s · che Nahue, y si yo no conozco a nadie acá?
NAHUE TOCA 15-25 s · esto lo mira alguien acá antes de que suba al contenedor. Si no conocés a nadie en China, lo revisa el mismo que te lo vende y te enterás cuando abrís la caja en Argentina. Keyword.</t>
  </si>
  <si>
    <t>Si es tu primera importación y no conocés a nadie en China, comentá YO y te cuento cómo es la consultora de 6 meses (YO, el setter abre con una pregunta directa, sin precio ni vencimiento)</t>
  </si>
  <si>
    <t>25-30 s</t>
  </si>
  <si>
    <t>La pregunta a ella va en inglés, en castellano solo si lo habla. Permiso de quien sale en cámara y sin su nombre. No presentarla como equipo de la consultora ni prometer que revisa la mercadería del que mira. Si la falla es actuada, no va. La frase en pantalla es de una lead que sigue en proceso de venta, pedir OK o esperar al cierre. Slots · [SLOT rol de la persona y si quiere salir con cara] · [SLOT que revise de verdad la mercadería de Casa Perfecta, confirma Nahue] · [SLOT si los clientes de la consultora llegan a este control por la red de contactos; si no, el cierre habla de cómo lo hace Nahue y no de clientes].</t>
  </si>
  <si>
    <t>https://www.instagram.com/p/DbjceGMhAR5/</t>
  </si>
  <si>
    <t>1. Primeras 5 palabras: 'Miren este producto que acabo de encontrar acá' + objeto YA en mano o en pantalla. En oct-nov 2025 esa estructura rindió 15 de 15 piezas sobre la mediana (1,64x, hook 59,5). Si no se ve el objeto en el primer segundo, no se graba.</t>
  </si>
  <si>
    <t>Los pasos del medio</t>
  </si>
  <si>
    <t>6 de 14 calls de la semana arrancan de cero y piden los pasos en orden; entienden el lado de acá y el de allá, el medio no lo ven. 'Cómo se importa en 1 minuto' fue el mejor score de IG de la cuenta (1,94x) y es el dolor #2 del banco (39%). Frase de call, 'Pero no sé los pasos en el medio'.
(Insight PASOS-DEL-MEDIO · calls del 19 al 23-oct (n=14) · banco de septiembre · frase verificada textual en el transcript de un lead que arrancaba de cero (ya cerró))</t>
  </si>
  <si>
    <t>OFF · Sé lo que sale allá y lo que sale acá, pero no sé los pasos del medio. · NAHUE (en la fábrica, con una caja cerrada en la mano) · Vení que te muestro.</t>
  </si>
  <si>
    <t>Segundo 0 · 'pero no sé los pasos en el medio' (alguien que arranca de cero) · una palabra por parada · fábrica · depósito · puerto</t>
  </si>
  <si>
    <t>Tres paradas de 8 a 10 segundos, en días distintos si hace falta. La fábrica con el producto saliendo de la línea, el depósito del agente con cajas de varios proveedores y el puerto o el camión con el contenedor (el puerto casi siempre se filma desde afuera). Nahue en cuadro en las tres. La parada de depósito sale el mismo día que 'Quién mira tu mercadería antes de que salga'.</t>
  </si>
  <si>
    <t>PREGUNTA (off) 0-3 s · sé lo que sale allá y lo que sale acá, pero no sé los pasos del medio.
NAHUE TOCA 3-5 s · vení que te muestro, y arranca a caminar.
ACCIÓN 5-13 s · parada en la fábrica. NAHUE TOCA · acá se fabrica y se revisa antes de que salga.
ACCIÓN 13-21 s · parada en el depósito del agente. NAHUE TOCA · acá llega la mercadería de varios proveedores, se junta y se arma la carga.
ACCIÓN 21-30 s · parada en el puerto o el camión. NAHUE TOCA · de acá sale el contenedor, y del otro lado te esperan el despachante y la aduana.
NAHUE TOCA 30-36 s · cierre caminando, el medio es donde uno se clava cuando lo hace solo. Keyword al final.</t>
  </si>
  <si>
    <t>Si te faltan los pasos del medio, comentá YO y te cuento cómo es la consultora de 6 meses (YO, el setter abre con una pregunta directa, sin precio ni vencimiento)</t>
  </si>
  <si>
    <t>30-40 s</t>
  </si>
  <si>
    <t>Ninguna parada se numera, ni en voz ni en pantalla, nada de 'los 3 pasos'. Permiso en fábrica, depósito y puerto, y marcas y números de contenedor tapados. Si no se llega al puerto, la tercera parada es el camión saliendo del depósito; si falta una, se graba con dos y se ajusta el cierre. Nada de documentos ni pantallas. No decir que la mercadería del que mira pasa por ese depósito. La aduana argentina no se explica acá. Slots · [SLOT que las tres paradas sean de la operación real de esta semana, confirma Nahue] · [SLOT si el contenedor es propio, no se dice de quién es ni se muestra su número].</t>
  </si>
  <si>
    <t>2. Decir el lugar físico en la primera frase ('en la Feria de Cantón', 'en Huashan Bay', 'en el mercado de Shenzhen', 'acá en la feria'). Escena en curso con lugar = grupo que retiene (hook 54-64 en 2026).</t>
  </si>
  <si>
    <t>BLOQUE 4 · 4 · QUÉ PRODUCTO</t>
  </si>
  <si>
    <t>3. Precio dentro de los primeros 10 segundos y contra Mercado Libre: mostrar el aviso de ML con vendidos y precio, y preguntar el precio al proveedor EN CÁMARA ('¿cuánto es el precio?'). Es el patrón de 2,06x (10 USD contra 32 centavos), 1,70x (75 mil pesos contra 10 dólares) y 2,28x (67 USD el auto eléctrico).</t>
  </si>
  <si>
    <t>4. Un producto, una idea, 20 a 45 segundos, una toma o 2-3 cortes. Una sola pregunta al vendedor por producto: precio, MOQ o unidades por container de 40 pies (el reel de 2,28x dice 271 unidades por container). No cargar tres datos por pieza.</t>
  </si>
  <si>
    <t>5. Instrucción accionable a cámara dicha desde China ('Vos agarrás un grupo de 10 personas, los mandás a caminar por los cotillones...') = 6,93x y 51.992 views. Para grabar: un mini plan de 4 a 5 pasos con número, parado frente al producto o al proveedor, sin leer.</t>
  </si>
  <si>
    <t>El más vendido no</t>
  </si>
  <si>
    <t>'No sé qué producto' movió la compra en 11 de 62 fichas (21% del mes) y aparece en 2 de 14 calls de la semana. Tienen ideas de sobra y les falta que alguien les diga cuál. El carrusel LISTA hizo 13.421 views y 108 comentarios. Frase de call, 'Yo quería ponerle inicio a dejar de acumular ideas y empezar con algo concreto'.
(Insight NO-SE-QUE-PRODUCTO · fichas del mes (n=62) · calls del 19 al 23-oct (n=14) · carrusel LISTA de octubre)</t>
  </si>
  <si>
    <t>NAHUE (al vendedor, frente al estante) · What do your clients from Argentina buy the most?</t>
  </si>
  <si>
    <t>le pregunto qué es lo que más le compran los argentinos · después este no · este sí</t>
  </si>
  <si>
    <t>Stand con estantes llenos donde el vendedor pueda señalar su más vendido. En la feria, regalería u hogar el 27-oct (fase 2), o bolsos, oficina, deporte o accesorios de mascota del 31-oct al 4-nov (fase 3). Si no, un mercado mayorista de Guangzhou o Yiwu.</t>
  </si>
  <si>
    <t>6. Mostrar lo que nadie muestra: infraestructura, procesos de una empresa china (panel de métricas en el lobby 4,46x, sala de entrevistas 1,65x). Abrir con 'Miren esto que es una locura' y recorrer en 20-30 segundos.</t>
  </si>
  <si>
    <t>ACCIÓN · Nahue frente al estante, arranca con la pregunta.
NAHUE TOCA · al vendedor, what do your clients from Argentina buy the most? El vendedor se lo alcanza.
NAHUE TOCA · ese no. Por qué motivo? Porque si es lo que más compran, ya lo tienen todos, compiten por precio y te terminás clavando con el stock.
ACCIÓN · agarra otro del mismo estante. Este sí, con un solo motivo (no se enchufa, no tiene talles, se le puede poner marca).
NAHUE TOCA (cierre) · comentá LISTA y te paso 50 productos que pasan ese filtro.</t>
  </si>
  <si>
    <t>Comentá LISTA y te paso 50 productos que pasan ese filtro (entrega la lista nueva, consultoria.creatubrand.com/productos)</t>
  </si>
  <si>
    <t>El 'sí' tiene que pasar los filtros de la lista (sin enchufe, batería, comida, piel, juguete, bebé ni talles); en fase 3 eso deja bolsos, oficina, deporte o accesorios de mascota. Sin ganancia prometida ni 'producto ganador'. Si el vendedor no sabe qué compran los argentinos, vale Latin America. Permiso para filmar al vendedor. La lista nueva no tenía flow de ManyChat al 13-oct, confirmar que LISTA entrega esa y no la guía vieja de unos 20 productos que hoy fallan el filtro. Slots · [SLOT qué producto señala el vendedor y cuál elige Nahue, en el momento] · [SLOT precio del que sí, solo si lo marca el vendedor].</t>
  </si>
  <si>
    <t>https://www.instagram.com/p/DeZe4b3RKuO/</t>
  </si>
  <si>
    <t>Buscalo en Mercado Libre</t>
  </si>
  <si>
    <t>El que ya vende cree que todo está traído. 1 de 14 calls de la semana lo dice con esas palabras y 'cada producto del container' fue la pieza con más gatillos del banco de septiembre (5 más 8 consumos). Frase de call, 'No encontré producto que no exista acá'.
(Insight PRODUCTO-NO-EXISTE-ACA · calls del 19 al 23-oct (n=14) · banco de septiembre · frase verificada textual en el transcript de un lead con locales de celulares)</t>
  </si>
  <si>
    <t>7. Mensaje o pregunta de seguidor MOSTRADO en pantalla con Nahue leyéndola o señalándola, nunca dicha de memoria (precio FOB 3,2x; 'cuánto sale este producto' 5,5x). Tincho en off o el filmmaker puede hacer la pregunta en primera persona ('Che Nahue, ¿cuánto te sale poner esto en Argentina?'). Formato entrevista en movimiento validado.</t>
  </si>
  <si>
    <t>OFF · Todo lo que encuentro ya está en Mercado Libre. Hay algo que no esté? · NAHUE (levanta un producto de la feria) · Buscalo vos.</t>
  </si>
  <si>
    <t>todo lo que encuentro ya está en Mercado Libre · después [SLOT] publicaciones en Mercado Libre</t>
  </si>
  <si>
    <t>Stand de la feria con un producto de esta temporada que no se enchufe. Hogar el 27-oct, deporte u ocio del 31-oct al 4-nov, porque la electrónica fue fase 1 y ya no está. Nahue con el producto en una mano y el celu en la otra. La captura de la búsqueda de Mercado Libre la pega el editor y el celu en cámara es solo el gesto.</t>
  </si>
  <si>
    <t>PREGUNTA (off) · Todo lo que encuentro ya está en Mercado Libre. Hay algo que no esté?
ACCIÓN · Nahue levanta el producto y lo busca en Mercado Libre en el celu. El editor pega la captura de la búsqueda.
NAHUE TOCA · cuántas publicaciones aparecen, dicho en voz alta.
NAHUE TOCA · el que trae lo mismo que todos compite por precio. Y cuando te lo copien, ya vas a estar lanzando el siguiente (frase suya, 28-ago-2026).
NAHUE TOCA (cierre) · comentá YO y te cuento cómo buscamos producto con los clientes de la consultora.</t>
  </si>
  <si>
    <t>Comentá YO y te cuento cómo buscamos producto con los clientes de la consultora (YO, el setter abre con una pregunta directa, sin precio ni vencimiento)</t>
  </si>
  <si>
    <t>Solo si se verifica en el momento. Llevar tres candidatos y quedarse con el que no aparece o aparece poco; se dice cuántas publicaciones hay, nunca 'nadie lo vende'. Chequear que no sea un producto intervenido (alimentos, piel o eléctrico con certificación). La pregunta en off la hace el filmmaker y no se presenta como de un cliente. El insight es flaco en la semana (1 de 14) y se sostiene por el dato de septiembre. Slots · [SLOT cuántas publicaciones aparecen en Mercado Libre, se busca en el momento y el editor la vuelve a chequear el día que publica].</t>
  </si>
  <si>
    <t>BLOQUE 5 · 5 · CASOS</t>
  </si>
  <si>
    <t>8. Evitar abrir con: credencial ('después de venir 4 años a China y 40 containers' rindió 1,03x), tesis abstracta, pregunta retórica propia (0,55x), 'La mayoría cree que' (0,46x), 'Si vos pensás que' (0,54x), 'tutorial rápido' (0,54x), 'Comentame la palabra X' en los primeros 3 segundos (hook 23-30). La keyword y la credencial van al FINAL.</t>
  </si>
  <si>
    <t>Negociando el próximo pedido de Casa Perfecta</t>
  </si>
  <si>
    <t>Casa Perfecta se usó como prueba en 12 de 13 calls con transcript de la semana y fue el argumento contra la desconfianza que más ganó en el banco de septiembre. Dos compradores del mes lo nombran, 'muestra todo el tiempo el proceso'. Compran que el operador sigue operando, y el evento real de la operación le da a Nahue 2,66x de alcance.
(Insight CASA-PERFECTA-EN-VIVO · calls de la semana con transcript (n=13) · banco de septiembre · compradores del mes (n=99))</t>
  </si>
  <si>
    <t>(muestra en la mano, al proveedor) Best price for [SLOT cantidad del pedido] pieces? (y a cámara, bajito) Gente, estoy negociando el próximo pedido de Casa Perfecta.</t>
  </si>
  <si>
    <t>Segundo 0 · pedido de Casa Perfecta · [SLOT producto] · [SLOT cantidad] unidades</t>
  </si>
  <si>
    <t>Stand o showroom de un proveedor de Casa Perfecta, con la muestra del producto sobre la mesa y la calculadora del proveedor. Nombre del stand y carteles tapados.</t>
  </si>
  <si>
    <t>9. Diálogo con proveedor: solo si el primer segundo ya dice qué se está comprando y a qué precio. Los diálogos que arrancan con audio de vendedor sin contexto quedaron en hook 48-54. Hipótesis a testear: texto en pantalla con producto y precio en el segundo 0 antes del diálogo (no medido).</t>
  </si>
  <si>
    <t>ACCIÓN 0-3 s · con la muestra en la mano le pregunta al proveedor el precio por la cantidad del pedido. El proveedor lo teclea en su calculadora y la gira a cámara. En pantalla desde el segundo 0, qué se compra y cuántas unidades.
NAHUE TOCA 3-12 s · a cámara, bajo, mientras el otro calcula. Esto va para el próximo contenedor de Casa Perfecta y me pidió tanto.
ACCIÓN 12-22 s · contraoferta con un número y la respuesta del proveedor, con uno o dos cortes.
NAHUE TOCA 22-30 s · cómo quedó, en una frase. Esto lo hacemos todos los meses para Casa Perfecta [SLOT contenedores por mes, solo con OK de Tincho; sin OK va sin número]. Keyword.</t>
  </si>
  <si>
    <t>Si querés traer tu propio producto de China, comentá YO y te cuento cómo es la consultora de 6 meses (YO, el setter abre con una pregunta directa, sin precio ni vencimiento)</t>
  </si>
  <si>
    <t>Tiene que ser una negociación real de Casa Perfecta, nada actuado. Si el número es sensible se tapa en edición y Nahue dice me pidió tanto, le ofrecí tanto. Permiso del proveedor para salir en cámara, con nombre del stand y carteles tapados para no regalar la fuente (Nico y otras cuentas están en China esta semana). Sin fecha de llegada ni urgencia. Decir operación armada en China, como en el corpus. La frase de poner la jeta no va acá, queda para 'Desde cuándo trabajamos juntos'. Si es el mismo proveedor que 'Esto no viene en ningún PDF', se graban en la misma visita y se publican en semanas distintas. Slots · [SLOT producto y cantidad del pedido real, confirma Nahue] · [SLOT precio pedido y contraoferta, Nahue decide si se ven o se tapan] · [SLOT contenedores por mes de Casa Perfecta, confirma Tincho; sin OK va sin número].</t>
  </si>
  <si>
    <t>BLOQUE 6 · 6 · MARCA</t>
  </si>
  <si>
    <t>10. No grabar talking head 'sobre China' parado en un lugar neutro: los consejos a cámara sin escena promedian 0,94x y hook 43,4 (n=13). Si hay consejo (negociación, crédito, descartar proveedor), anclarlo a una escena: grabarlo caminando frente al puesto, con el objeto en mano, o usarlo como cierre de una pieza de producto.</t>
  </si>
  <si>
    <t>11. Lo concreto adelante, la tesis atrás. Orden de cada pieza: objeto + lugar (0-3 s) → precio allá contra precio ML (3-15 s) → una reacción o dato (15-30 s) → cierre con credencial o recurso ('estoy preparando una lista con 30 productos que vi en la feria') → palabra clave.</t>
  </si>
  <si>
    <t>Cuántas para ponerle mi logo</t>
  </si>
  <si>
    <t>Marca propia es el ángulo que más movió la compra, 25 de 62 fichas (40%) y 39% de los 99 compradores del mes, el único fuerte en los tres perfiles. Explicada rinde 0,53x y 0,87x, y mostrada 1,01x, por eso acá se muestra el logo grabándose.
(Insight MARCA-PROPIA · fichas del mes (n=62) · compradores del mes (n=99) · score de IG de marca explicada contra mostrada)</t>
  </si>
  <si>
    <t>(primer plano de la máquina grabando un logo, con el ruido) OFF · Quiero vender esto con mi marca. Cuántas tengo que comprar para que le pongan mi logo? · NAHUE (a la fábrica) · What's the minimum order with my logo?</t>
  </si>
  <si>
    <t>cuántas tengo que comprar para que le pongan mi logo? · después mínimo [SLOT] unidades</t>
  </si>
  <si>
    <t>Fábrica o stand que graba o estampa logos (láser, tampografía o serigrafía) sobre el producto o la caja, con la máquina trabajando en primer plano. El logo es de Casa Perfecta o uno de prueba.</t>
  </si>
  <si>
    <t>12. Reel de seguimiento sobre un producto que ya funcionó: Laserpecker del 19-abr-2025 (138K) volvió el 18-nov con la representación oficial y rindió 2,23x con hook 65,3. Para China: si un producto de la visita gana, grabar una segunda pieza sobre el proveedor o la fábrica.</t>
  </si>
  <si>
    <t>ACCIÓN 0-3 s · primer plano de la máquina grabando un logo sobre el producto, con el ruido.
PREGUNTA (off) 0-4 s · Quiero vender esto con mi marca. Cuántas tengo que comprar para que le pongan mi logo?
NAHUE TOCA 4-10 s · a la fábrica, what's the minimum order with my logo? El mínimo en pantalla.
ACCIÓN 10-15 s · Nahue saca la pieza recién grabada y la gira a cámara.
NAHUE TOCA 15-21 s · una sola frase. Con tu logo dejás de ser uno más de los que venden lo mismo.
NAHUE TOCA 21-25 s · comentá YO y te cuento cómo arrancan su marca los clientes de la consultora.</t>
  </si>
  <si>
    <t>Comentá YO y te cuento cómo arrancan su marca los clientes de la consultora (YO, el setter abre con una pregunta directa, sin precio ni vencimiento)</t>
  </si>
  <si>
    <t>Marca mostrada, nunca explicada; si Nahue arranca a definir qué es una marca, se corta. De 4 a 6 segundos de máquina como apertura, no más. No grabar el logo de una marca ajena ni de clientes sin permiso; si es de Casa Perfecta, que se lea. Permiso para filmar la línea. La pregunta en off la hace el filmmaker y no se presenta como de un cliente. Del reel más visto de la cuenta (láser, 138.085 views) se toma solo el plano de la máquina, porque ahí la máquina era el producto y no la marca. Slots · [SLOT mínimo de unidades con logo, lo dice la fábrica en cámara] · [SLOT qué logo se graba, de Casa Perfecta o de prueba, lo decide Nahue] · [SLOT costo del grabado por unidad, solo si el proveedor lo dice en cámara].</t>
  </si>
  <si>
    <t>BLOQUE 7 · 7 · POOL</t>
  </si>
  <si>
    <t>13. Aprobar cada clip por sus primeras 5 palabras antes de publicar. Dos clips de 2026 abren a mitad de frase ('Y capaz que para empezar...') y uno abre con 'Gracias por ver el video' (hook 25,9). El editor corta desde donde empieza la escena, no desde donde empieza el audio.</t>
  </si>
  <si>
    <t>Evitar · El hook actuado 'Nico, ...?' está bajo pero no es el más bajo: 6 reels con el hook empezando 'Nico,' (27-ago al 17-sep, el dossier cuenta 7 al incluir 'Vico, pará') tienen mediana 93.560 views y 0,70x, contra 0,86x de los 89 reels de negocio no fijados desde el 1-jul. Son todos de la época del viaje. Más bajos: listas 'Top 3' y 'N errores' (0,13x, n=3) y el abordaje largo (0,55x, n=8). Conclusión: sacar el nombre del hook, no el formato.</t>
  </si>
  <si>
    <t>Tengo 3.000 dólares, me alcanza</t>
  </si>
  <si>
    <t>'Pool y poco capital' mueve la compra en 17 de 62 fichas y 6 de 10 seguimientos de la semana frenan por plata. Creen que importar es poner todo de entrada. 5 de 14 leyeron el pool como servicio de logística y el AD 7 pool dio 0 conversaciones, por eso va como proceso y no como gancho. Frase de call, 'tenés que poner, sea poco o mucho, como medio de entrada todo el capital y después recuperarlo'.
(Insight POOL-SIN-CONTENEDOR · fichas del mes (n=62) · seguimientos de la semana (n=10) · calls del 19 al 23-oct (n=14) · AD 7 pool)</t>
  </si>
  <si>
    <t>OFF · Tengo 3.000 dólares. Me alcanza para importar o tengo que llenar un contenedor? · (Nahue ya camina entre las cajas)</t>
  </si>
  <si>
    <t>Segundo 0 · tengo 3.000 dólares, me alcanza o tengo que llenar un contenedor? · cuando señala las pilas · cada pila es de un dueño distinto</t>
  </si>
  <si>
    <t>Depósito del trader en Shenzhen donde se consolida el pool (según el FAQ, la mercadería tiene que llegar ahí y el contenedor sale de ahí), con pilas de cajas de distintos dueños marcadas por separado y, si se puede, un contenedor abierto cargándose. Si ese depósito no está en el recorrido, la pieza no se graba en otro lugar.</t>
  </si>
  <si>
    <t>Evitar · Listas numeradas a cámara ('Estos 7 errores...', 'Top 3 tipos de productos...'): 0,13x en 3 reels (ig_Dd4YYcnhYpy no, ver ig_DehhO4tuJLq 0,13x, ig_Dc... 0,34x y ig_De4... 0,12x). Tienen entrada de enumeración sin hook de conflicto.</t>
  </si>
  <si>
    <t>PREGUNTA (off) 0-3 s · tengo 3.000 dólares, me alcanza para importar o tengo que llenar un contenedor?
ACCIÓN 3-8 s · Nahue caminando entre pilas de cajas de distintos dueños, señala dos o tres.
NAHUE TOCA 8-16 s · mirá esto, acá cada uno pone lo suyo y nadie llena un contenedor solo.
NAHUE TOCA 16-26 s · todo el mundo piensa que para importar necesitás un montonazo de capital, y nada más alejado de la realidad (textual suyo, 27-oct-2025). Con cuánto entra un producto [SLOT].
NAHUE TOCA 26-34 s · al fin de cuentas lo que define es elegir bien el producto y hacer la cuenta antes, y así lo traen los clientes que arrancan con poca plata (esta última parte solo si se confirma el slot de clientes). Keyword al final.</t>
  </si>
  <si>
    <t>Si tenés poca plata y querés arrancar, comentá YO y te cuento cómo es la consultora de 6 meses (YO, el setter abre con una pregunta directa, sin precio ni vencimiento)</t>
  </si>
  <si>
    <t>La palabra pool no va en el hook ni se vende como servicio de logística (5 de 14 lo leyeron así y el AD 7 dio 0 conversaciones). 'Todo el mundo piensa' va al medio, nunca de apertura. Sin precio por metro cúbico en cámara. Tapar nombres y marcas en las cajas. No prometer ganancia ni que 3.000 alcanzan para cualquier producto. La pregunta arranca con la cifra y sin nombre (en Nico los hooks que empiezan con su nombre rinden 0,70x). El 3.000 sale de una lead en proceso de venta y va como pregunta del filmmaker, no como cita. Slots · [SLOT con cuánto entra un producto en la carga compartida; la cifra pública es desde 1.000 dólares (Tincho, 14-sep-2026), confirma Nahue que sigue vigente] · [SLOT que en ese depósito haya cajas de clientes de la consultora; si no, se dice distintos dueños y sale la última frase] · [SLOT si 3.000 no encaja con el mínimo real, la pregunta va con una cifra que sí].</t>
  </si>
  <si>
    <t>BLOQUE 8 · 8 · MERCADO LIBRE (NUEVO)</t>
  </si>
  <si>
    <t>Evitar · Reels de más de 60 s: mediana 0,67x (n=10), contra 0,96x en los de 30 s o menos (n=20) y 1,02x en los de 46 a 60 s (n=22). Con Nahue, límite de 45 s.</t>
  </si>
  <si>
    <t>Evitar · Resubir tal cual: en los 18 grupos de reels con el mismo guion desde julio, el reel más nuevo rinde menos que el primero en todos. Ejemplos: 'Si supieras lo barato' 12,87x a 1,65x; 'Pocos te van a mostrar esto' 2,96x a 0,64x; Paraguay 4,88x a 0,84x a 0,23x. No repetir el mismo hook en la misma semana.</t>
  </si>
  <si>
    <t>Diez iguales en la mesa</t>
  </si>
  <si>
    <t>'Mercado Libre comisiones' mueve la compra en 9 de 62 fichas y es el 50% del comprador que ya vende online, sin pieza propia en el feed (el AD 14 nunca entregó). Frase de call, 'Hubo varios días que habíamos llegado a 15, 20 ventas más o menos por día ... y después, a partir de mayo hasta ahora, empezamos como que solamente a bajar'. Lo de los iguales compitiendo por precio es el diagnóstico de Nahue (21-oct-2025), no lo dice el lead.
(Insight ML-VENTAS-BAJAN · fichas del mes (n=62) · AD 14 sin entrega y AD 17 recreado el 20-oct · la frase sale del banco de calls y no se pudo cruzar contra un transcript guardado)</t>
  </si>
  <si>
    <t>(nueve unidades iguales sin marca ya en fila sobre la mesa, Nahue apoya la décima sin hablar) Cuál es el tuyo?</t>
  </si>
  <si>
    <t>Cuál es el tuyo / [SLOT cantidad] publicaciones iguales en Mercado Libre</t>
  </si>
  <si>
    <t>Mesa de un stand o de la fábrica con diez unidades del mismo producto sin marca, muestras del proveedor. Si hay una versión con marca y caja propia, se usa al final.</t>
  </si>
  <si>
    <t>ACCIÓN 0-3 s · nueve unidades iguales sin marca ya en fila, Nahue apoya la décima sin hablar. En pantalla, Cuál es el tuyo.
NAHUE TOCA 3-12 s · así ve tu cliente la búsqueda en Mercado Libre. Entra la captura de la búsqueda con las publicaciones iguales. Están todos compitiendo entre sí por precio y nadie gana plata así (frase suya, 21-oct-2025).
ACCIÓN 12-18 s · saca una de la fila y pone la misma con marca y caja propia. Si la fábrica no la tiene, Nahue le pide al proveedor en cámara un cambio concreto (color, caja o accesorio) y se graba la respuesta.
NAHUE TOCA 18-26 s · si te bajaron las ventas y no cambiaste nada, fijate cuántos iguales aparecieron. Keyword.</t>
  </si>
  <si>
    <t>Si vendés en Mercado Libre y querés saber cuánto te queda de verdad, comentá COSTOS (entrega impo-auditoria-costos.netlify.app, que suma comisión de Mercado Libre, cuotas, envío, IVA e ingresos brutos)</t>
  </si>
  <si>
    <t>Ángulo nuevo, con etiqueta ManyChat propia y medido contra las de La cuenta. Para leer el test hace falta una segunda pieza en otro formato la semana siguiente; la candidata es el regateo 'With my logo and my box, how much?', cuando se verifique la frase del lead. Pixelar vendedores y marcas en la captura de Mercado Libre. No afirmar que todas las publicaciones salen del mismo proveedor, se dice lo que se ve en la mesa. Confirmar el flow COSTOS. Slots · [SLOT producto con muchas publicaciones iguales en Mercado Libre, chequeado el día de grabación] · [SLOT cuántas publicaciones iguales hay, captura del editor el día que edita] · [SLOT si la fábrica tiene la versión con marca; si no, va el pedido de cambio en cámara].</t>
  </si>
  <si>
    <t>BLOQUE 9 · 9 · ANTI-HUMO (NUEVO)</t>
  </si>
  <si>
    <t>Evitar · Reels de negocio puro de octubre: mediana 0,18x (n=14, sin fijados, desde el 1-oct). Los talking heads informativos sin escena ('Si mañana te despertás con 300 dólares', 'Es imposible que no ganes plata') están entre 0,10x y 0,28x. Lo que sí rindió en octubre fue la escena en terreno.</t>
  </si>
  <si>
    <t>Evitar · 'Tenés un minuto para explicarme X': 0,58x mediana (n=2: 0,90x y 0,27x). No alcanza para sostenerlo como formato.</t>
  </si>
  <si>
    <t>Esto no viene en ningún PDF</t>
  </si>
  <si>
    <t>3 de 14 calls de la semana vienen de un curso previo, 5 de 62 fichas dicen 'pagué un curso y no importé' y la desconfianza por cursos aparece en el 19% de los compradores del mes. El ángulo #49 del banco no tiene pieza propia. Frase de call, 'Yo tengo 3.000 dólares, lo uso para importar mercadería, no para gastarme en el curso'.
(Insight CURSO-SIN-ARRANCAR · calls del 19 al 23-oct (n=14) · fichas del mes anterior (n=62) · compradores del mes (n=99) · banco #49)</t>
  </si>
  <si>
    <t>(Nahue frena al proveedor que está anotando la cotización o cerrando la caja de la muestra, y agarra la muestra) Pará, pará. Wait.</t>
  </si>
  <si>
    <t>Segundo 0 · esto no viene en ningún PDF · cuando señala el detalle · el detalle en dos o tres palabras · antes del cierre · si ya pagaste un curso y todavía no compraste nada</t>
  </si>
  <si>
    <t>Mesa de muestras de una fábrica o de un proveedor de Casa Perfecta, con la muestra de algo que Nahue está comprando esta semana y el proveedor a cuadro anotando la cotización.</t>
  </si>
  <si>
    <t>Evitar · Vender marcas propias en el feed (hockey Nika, sobres Pokémon): 0,37x a 0,74x y 0,02 a 0,52 comentarios cada 1.000 views. No mezclar con BM.</t>
  </si>
  <si>
    <t>ACCIÓN 0-3 s · el proveedor está anotando la cotización o cerrando la caja de la muestra; Nahue entra a cuadro y lo frena.
NAHUE TOCA 3-12 s · pará, pará, wait. Agarra la muestra y muestra el detalle que está negociando ese día (una pieza que se compra aparte, el empaque, el material o el mínimo).
NAHUE TOCA 12-22 s · a cámara, esto se resuelve comprando, en la mesa con el proveedor, y cada detalle de estos te mueve el margen.
NAHUE TOCA 22-30 s · si ya pagaste un curso y todavía no compraste nada, esto es lo que se aprende recién cuando comprás. Keyword al final.</t>
  </si>
  <si>
    <t>Si ya pagaste un curso y no arrancaste, comentá YO y te cuento cómo es la consultora de 6 meses (YO, el setter abre con una pregunta directa, sin precio ni vencimiento)</t>
  </si>
  <si>
    <t>Sin nombrar a ningún competidor ni curso. Nada de contraponer cursos contra consultora; la pieza muestra la compra y no explica el producto. 'Pará, pará' va para la audiencia y al proveedor le llega el 'wait'. Permiso en la fábrica y marca del proveedor tapada. Si ese día no hay muestra ni negociación real, no se graba. Ángulo nuevo, con etiqueta ManyChat propia. Si es el mismo proveedor que 'Negociando el próximo pedido de Casa Perfecta', se graban en la misma visita y se publican en semanas distintas. Slots · [SLOT el detalle que Nahue esté negociando ese día, lo elige él] · [SLOT que la muestra sea de una compra real de esta semana, confirma Nahue].</t>
  </si>
  <si>
    <t>Desde cuándo trabajamos juntos</t>
  </si>
  <si>
    <t>4 de 14 calls de la semana traen otra referencia del rubro, y un lead la descartó por desconfianza y compró por confianza en Nahue. Confían en lo que lo ven haciendo hoy y en el lugar, no en material viejo. Frase de call, 'para realmente dar el paso, me hace falta esa confianza'.
(Insight CONFIANZA-EN-VIVO · calls del 19 al 23-oct (n=14) · frase verificada textual en el transcript de un lead que le compra al mayorista)</t>
  </si>
  <si>
    <t>Evitar · El abordaje largo de 90 s: 0,55x en views, pero tiene los comentarios altos. No es rápido; si se hace, cortar a 30 s.</t>
  </si>
  <si>
    <t>NAHUE (señala la frase en pantalla y la lee como cita, llegando al stand de su proveedor) · Para realmente dar el paso, me hace falta esa confianza. Vení. (al proveedor) How long have we been working together?</t>
  </si>
  <si>
    <t>para realmente dar el paso, me hace falta esa confianza (alguien que le compra al mayorista) · después [SLOT fecha de hoy] · feria de Cantón o la fábrica</t>
  </si>
  <si>
    <t>Stand o showroom de un proveedor con el que Casa Perfecta trabaja hace años, en la feria o en su fábrica. La prueba de que es hoy la da el cartel de la fase de la feria o Nahue diciendo la fecha, porque la credencial de comprador no trae fecha. Nombre del stand tapado si el proveedor no quiere salir.</t>
  </si>
  <si>
    <t>ACCIÓN · la frase en pantalla con su atributo. Nahue la señala y la lee como cita llegando al stand, y dice vení.
NAHUE TOCA · al proveedor, how long have we been working together? La respuesta va subtitulada.
NAHUE TOCA · qué le está comprando hoy y qué le pide cambiar, con la fecha del día dicha o a cuadro.
NAHUE TOCA · para conseguir crédito no queda otra que ir y poner la jeta delante del proveedor (textual suyo, 20-abr-2026), solo si ese proveedor hoy le da crédito.
NAHUE TOCA (cierre) · comentá YO y te cuento cómo es la consultora de 6 meses.</t>
  </si>
  <si>
    <t>Comentá YO y te cuento cómo es la consultora de 6 meses (YO, el setter abre con una pregunta directa, sin precio ni vencimiento)</t>
  </si>
  <si>
    <t>Nada de material de la feria 2025, la fecha se tiene que ver o decir. Proveedor a cámara solo con permiso. Sin nombrar a nadie del rubro ni decir 'yo no vendo humo'. Nahue lee la frase como cita para que no parezca que el que desconfía es él. Única pieza de un ángulo nuevo, el test pide una segunda en otro formato. Quien dijo la frase sigue en seguimiento, pedir OK o esperar al cierre. Slots · [SLOT desde cuándo trabajan juntos, lo dice el proveedor] · [SLOT fecha de hoy, la dice Nahue o se ve en el cartel de la fase] · [SLOT si hoy le da crédito y a cuántos días, solo si Nahue lo quiere decir; si no hay crédito, la frase de poner la jeta no va].</t>
  </si>
  <si>
    <t>Evitar · Clips de animales o comida rara: la rata dio 1,98x pero el público es de entretenimiento y la marca no puede apoyarse en eso; los bichos dieron 0,5x.</t>
  </si>
  <si>
    <t>BLOQUE 10 · 10 · MENTALIDAD (NUEVO)</t>
  </si>
  <si>
    <t>Otro año dando vueltas</t>
  </si>
  <si>
    <t>6 de 10 seguimientos frenan por miedo a equivocarse y 10 de 14 calls piden acompañamiento con sus palabras. Un lead pasó un año entre ropa, pet shop y herramientas sin comprar nada. Les falta empezar con algo chico. Frase de call, 'hace un año que andamos a las vueltas'.
(Insight HACE-UN-ANIO · seguimientos de la semana (n=10) · calls del 19 al 23-oct (n=14) · frase verificada textual en el transcript de un lead que todavía no importó)</t>
  </si>
  <si>
    <t>(saliendo de la feria al cierre, con la caja de muestras del día) Lo peor que podés hacer es pasarte otro año dando vueltas.</t>
  </si>
  <si>
    <t>hace un año que andamos a las vueltas (alguien que todavía no importó) / [SLOT ciudad] · muestras del día</t>
  </si>
  <si>
    <t>Salida de la feria al cierre (18 h, ya oscurece) con la caja o la bolsa de muestras que eligió ese día. Hay feria el 27-oct y del 31-oct al 4-nov; si no, la calle del mercado o del hotel de noche con la misma caja.</t>
  </si>
  <si>
    <t>ACCIÓN 0-3 s · Nahue caminando, frena y gira a cámara con la caja. Frase del lead en pantalla.
NAHUE TOCA 3-12 s · su escalera en sus palabras, empezamos con un pequeño envío por avión, después un cuarto de container, después medio, después uno entero (frase suya, repetida en el corpus, por ejemplo 24-oct-2025).
ACCIÓN 12-18 s · abre la caja y saca una muestra. Esto lo elegí hoy para el próximo contenedor de Casa Perfecta, y dice por qué en una frase.
NAHUE TOCA 18-26 s · hay que salir un poquitito de la silla, mover un poquitito el orto, arriesgarse (textual suyo, 22-jul-2026). Keyword.</t>
  </si>
  <si>
    <t>Si hace rato que das vueltas con qué producto arrancar, comentá LISTA (entrega la lista de 50 productos, consultoria.creatubrand.com/productos)</t>
  </si>
  <si>
    <t>Mentalidad sola rinde poco en Nahue, por eso va con la salida de la feria, la caja y una muestra real, nunca como consejo parado. Se reta al dar vueltas, no a la persona; 'lo peor que podés hacer' es muletilla suya de 2026. Sin plazos ni urgencia de oferta. La cita va tal cual, sin nombre ni rubro, y no se convierte en pieza sobre decidir de a dos. Nada de 'tener a quién preguntarle', pitchear el acompañamiento en reels está vetado desde el 24-ago. Quien dijo la frase sigue en seguimiento, pedir OK o esperar al cierre. Confirmar que LISTA entrega la lista nueva. Slots · [SLOT que la escalera avión, cuarto, medio y entero siga siendo como la cuenta hoy, confirma Nahue] · [SLOT qué muestra eligió ese día y para qué producto de Casa Perfecta] · [SLOT ciudad].</t>
  </si>
  <si>
    <t>https://www.instagram.com/p/DaygQtGqTod/</t>
  </si>
  <si>
    <t>BLOQUE 11 · ADS DE PAUTA · OFERTA DIRECTA CON CUPO DE 2 MESES (no son reels: van como anuncio a DM). Guía completa, copy de Meta y fuentes en docs/ads-oferta-2meses/guiones.md</t>
  </si>
  <si>
    <t>AD 1</t>
  </si>
  <si>
    <t>Oferta directa · 2 meses extra de regalo</t>
  </si>
  <si>
    <t>Oferta (cupo)</t>
  </si>
  <si>
    <t>En historias el bono de tiempo cerró mejor que la suba de precio. Cupo real: a los próximos 10, 2 meses extra; desde la 11, 4 meses.</t>
  </si>
  <si>
    <t>Anuncio a cámara (pauta)</t>
  </si>
  <si>
    <t>Dedo para arriba en el primer segundo + caja '2 meses extra de regalo'</t>
  </si>
  <si>
    <t>2 meses extra de regalo / para los próximos 10 que entren a la consultoría / mandame YO por privado</t>
  </si>
  <si>
    <t>Pasillo de la feria o una fábrica, de frente</t>
  </si>
  <si>
    <t>Gente, a los próximos 10 que entren a la consultoría les regalamos 2 meses extra. [motivo solo si Tincho lo confirma: son 2 meses más de laburo del equipo con cada uno] Si lo venías pensando, mandame YO por privado y te contamos cómo funciona.</t>
  </si>
  <si>
    <t>Si lo venías pensando, mandame YO por privado y te contamos cómo funciona</t>
  </si>
  <si>
    <t>Grabar 2 tomas del cierre: con cupo y sin cupo. No decir fecha, precio, 'no es plata' ni 'desde la 11 son 4'.</t>
  </si>
  <si>
    <t>Refe Cubria · why-now 25-sep 'te regalo 1500' (sin la fecha)</t>
  </si>
  <si>
    <t>AD 2</t>
  </si>
  <si>
    <t>No sé si me conviene importar ahora</t>
  </si>
  <si>
    <t>Objeción · el momento</t>
  </si>
  <si>
    <t>Objeción elegida por Tincho 27-oct. Su reel del 24-jul responde esa pregunta: 'yo les digo que sí'.</t>
  </si>
  <si>
    <t>Lee el DM a cámara: 'Gente, miren la pregunta que me hacen acá' + caja con la frase del lead</t>
  </si>
  <si>
    <t>"nahue, no sé si me conviene importar ahora" / sobre el clip: gonzalo · arrancó de cero / mandame YO por privado</t>
  </si>
  <si>
    <t>Entre puestos de la feria o en una fábrica</t>
  </si>
  <si>
    <t>Gente, miren la pregunta que me hacen acá. Nahue, no sé si me conviene importar ahora. Y acá, como siempre, yo les digo que sí. Si estás haciendo negocios a largo plazo, te conviene importar directamente. Vas a tener mejor margen, mejor calidad de los productos, no te quedás sin stock y podés personalizar los productos. Si mañana arranco de cero, elijo un solo producto con datos y hago un envío chico por avión. Nada de containers y nada de héroes. [clip de Gonzalo] Mandame YO por privado y te contamos cómo funciona.</t>
  </si>
  <si>
    <t>mandame YO por privado y te contamos cómo funciona</t>
  </si>
  <si>
    <t>35-40 s</t>
  </si>
  <si>
    <t>Sin el '40% abajo' del reel. 'Si mañana arranco de cero' en primera persona. El clip de Gonzalo lo mete Mateo. Sin cupo.</t>
  </si>
  <si>
    <t>Refe Cubria · ads de objeción ('Rami, me encanta pero…')</t>
  </si>
  <si>
    <t>AD 3</t>
  </si>
  <si>
    <t>Importar es solo bajar costos</t>
  </si>
  <si>
    <t>Objeción · marca</t>
  </si>
  <si>
    <t>Objeción elegida por Tincho 27-oct. Su reel del 16-ago abre con esa misma frase.</t>
  </si>
  <si>
    <t>Caja con la frase del lead: 'importar es para bajar costos y listo'</t>
  </si>
  <si>
    <t>"importar es para bajar costos y listo" / dos curvas sin números (el genérico sube y se cae, la marca se sostiene) / fede · su marca TAPES / casa perfecta · una mopa en el puesto 15 de todo mercado libre en octubre / mandame YO por privado</t>
  </si>
  <si>
    <t>Frente a un stand con producto de marca, o con un producto con marca en la mano</t>
  </si>
  <si>
    <t>Si vos realmente pensás que importar es únicamente para mejorar costos, dejame decirte que estás viendo solamente el 20% del negocio. El costo es solamente la puerta de entrada. Si arranco de cero, desde el segundo pedido ya meto marca propia, porque el genérico únicamente compite por precio y yo ya perdí esa guerra una vez. Tenés que crear marca y vas a generar una curva como esta. [clip de Fede + captura de la mopa] Mandame YO por privado y te contamos cómo funciona.</t>
  </si>
  <si>
    <t>35-45 s</t>
  </si>
  <si>
    <t>Las dos curvas las dibuja Mateo, sin números. El clip de Fede y la captura de la mopa (historia 13-oct) los mete Mateo. Sin cupo.</t>
  </si>
  <si>
    <t>Refe Cubria · ads de objeción</t>
  </si>
  <si>
    <t>AD 4</t>
  </si>
  <si>
    <t>Ustedes te ayudan a importar y nada más</t>
  </si>
  <si>
    <t>Objeción · alcance</t>
  </si>
  <si>
    <t>Objeción elegida por Tincho 27-oct. Noelia la contesta literal en su testimonio.</t>
  </si>
  <si>
    <t>Lee el DM a cámara: 'Miren, acá me dicen' + caja con la frase del lead</t>
  </si>
  <si>
    <t>"ustedes te ayudan a importar y nada más" / elegís el producto con datos / validás que se venda / le ponés tu marca / lo importás con nuestros contactos / lo salís a vender / noelia · su primera importación / mandame YO por privado</t>
  </si>
  <si>
    <t>Recorriendo una fábrica o la feria</t>
  </si>
  <si>
    <t>Miren, acá me dicen. Ustedes te ayudan a importar y nada más. No solamente es aprender a importar, sino implementar con los mismos contactos que nosotros usamos en nuestra empresa. Y también el sistema de ventas que nosotros tenemos. Y encima los ayudamos a validar si los productos realmente se van a vender. [5 cajas + clip de Noelia] Mandame YO por privado y te contamos cómo funciona.</t>
  </si>
  <si>
    <t>40-45 s</t>
  </si>
  <si>
    <t>No presentar al equipo (nada de 'tenemos despachantes y licenciados'). Las 5 cajas y el clip de Noelia los mete Mateo. Sin cupo.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</si>
</sst>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Calibri"/>
      <scheme val="minor"/>
    </font>
    <font/>
    <font>
      <b/>
      <sz val="9.0"/>
      <color rgb="FFFFFFFF"/>
      <name val="Calibri"/>
      <scheme val="minor"/>
    </font>
    <font>
      <sz val="11.0"/>
      <color theme="1"/>
      <name val="Calibri"/>
    </font>
    <font>
      <b/>
      <color theme="1"/>
      <name val="Calibri"/>
      <scheme val="minor"/>
    </font>
    <font>
      <b/>
      <sz val="9.0"/>
      <color rgb="FF262626"/>
      <name val="Calibri"/>
      <scheme val="minor"/>
    </font>
    <font>
      <sz val="9.0"/>
      <color rgb="FF262626"/>
      <name val="Calibri"/>
      <scheme val="minor"/>
    </font>
  </fonts>
  <fills count="7">
    <fill>
      <patternFill patternType="none"/>
    </fill>
    <fill>
      <patternFill patternType="lightGray"/>
    </fill>
    <fill>
      <patternFill patternType="solid">
        <fgColor rgb="FF1F1F1F"/>
        <bgColor rgb="FF1F1F1F"/>
      </patternFill>
    </fill>
    <fill>
      <patternFill patternType="solid">
        <fgColor rgb="FF2F5597"/>
        <bgColor rgb="FF2F5597"/>
      </patternFill>
    </fill>
    <fill>
      <patternFill patternType="solid">
        <fgColor rgb="FFF3F6FB"/>
        <bgColor rgb="FFF3F6FB"/>
      </patternFill>
    </fill>
    <fill>
      <patternFill patternType="solid">
        <fgColor rgb="FFE7E6E6"/>
        <bgColor rgb="FFE7E6E6"/>
      </patternFill>
    </fill>
    <fill>
      <patternFill patternType="solid">
        <fgColor rgb="FFFFF2CC"/>
        <bgColor rgb="FFFFF2CC"/>
      </patternFill>
    </fill>
  </fills>
  <borders count="9">
    <border/>
    <border>
      <left/>
      <top/>
      <bottom/>
    </border>
    <border>
      <right/>
      <top/>
      <bottom/>
    </border>
    <border>
      <left style="thin">
        <color rgb="FFBFBFBF"/>
      </left>
      <right style="thin">
        <color rgb="FFBFBFBF"/>
      </right>
      <top style="thin">
        <color rgb="FFBFBFBF"/>
      </top>
      <bottom style="thin">
        <color rgb="FFBFBFBF"/>
      </bottom>
    </border>
    <border>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4" fillId="0" fontId="2" numFmtId="0" xfId="0" applyBorder="1" applyFont="1"/>
    <xf borderId="3" fillId="3" fontId="3" numFmtId="0" xfId="0" applyAlignment="1" applyBorder="1" applyFill="1" applyFont="1">
      <alignment horizontal="center" shrinkToFit="0" vertical="center" wrapText="1"/>
    </xf>
    <xf borderId="3" fillId="0" fontId="4" numFmtId="0" xfId="0" applyAlignment="1" applyBorder="1" applyFont="1">
      <alignment shrinkToFit="0" vertical="top" wrapText="1"/>
    </xf>
    <xf borderId="3" fillId="4" fontId="4" numFmtId="0" xfId="0" applyAlignment="1" applyBorder="1" applyFill="1" applyFont="1">
      <alignment shrinkToFit="0" vertical="top" wrapText="1"/>
    </xf>
    <xf borderId="3" fillId="0" fontId="5" numFmtId="0" xfId="0" applyAlignment="1" applyBorder="1" applyFont="1">
      <alignment shrinkToFit="0" vertical="top" wrapText="1"/>
    </xf>
    <xf borderId="1" fillId="5" fontId="6" numFmtId="0" xfId="0" applyAlignment="1" applyBorder="1" applyFill="1" applyFont="1">
      <alignment shrinkToFit="0" vertical="center" wrapText="1"/>
    </xf>
    <xf borderId="3" fillId="4" fontId="5" numFmtId="0" xfId="0" applyAlignment="1" applyBorder="1" applyFill="1" applyFont="1">
      <alignment shrinkToFit="0" vertical="top" wrapText="1"/>
    </xf>
    <xf borderId="1" fillId="6" fontId="6" numFmtId="0" xfId="0" applyAlignment="1" applyBorder="1" applyFill="1" applyFont="1">
      <alignment shrinkToFit="0" vertical="center" wrapText="1"/>
    </xf>
    <xf borderId="1" fillId="5" fontId="7" numFmtId="0" xfId="0" applyAlignment="1" applyBorder="1" applyFill="1" applyFont="1">
      <alignment shrinkToFit="0" vertical="center" wrapText="1"/>
    </xf>
    <xf borderId="1" fillId="3" fontId="3" numFmtId="0" xfId="0" applyAlignment="1" applyBorder="1" applyFill="1" applyFont="1">
      <alignment shrinkToFit="0" vertical="center" wrapText="1"/>
    </xf>
    <xf borderId="5" fillId="2" fontId="3" numFmtId="0" xfId="0" applyBorder="1" applyFill="1" applyFont="1"/>
    <xf borderId="3" fillId="0" fontId="4" numFmtId="0" xfId="0" applyBorder="1" applyFont="1"/>
    <xf borderId="3" fillId="0" fontId="4" numFmtId="9" xfId="0" applyBorder="1" applyFont="1" applyNumberFormat="1"/>
    <xf borderId="6" fillId="0" fontId="4" numFmtId="0" xfId="0" applyAlignment="1" applyBorder="1" applyFont="1">
      <alignment shrinkToFit="0" vertical="top" wrapText="1"/>
    </xf>
    <xf borderId="7" fillId="0" fontId="2" numFmtId="0" xfId="0" applyBorder="1" applyFont="1"/>
    <xf borderId="8" fillId="0" fontId="2" numFmtId="0" xfId="0" applyBorder="1" applyFont="1"/>
  </cellXfs>
  <cellStyles count="1">
    <cellStyle xfId="0" name="Normal" builtinId="0"/>
  </cellStyles>
  <dxfs count="7">
    <dxf>
      <font/>
      <fill>
        <patternFill patternType="solid">
          <fgColor rgb="FFFCE4D6"/>
          <bgColor rgb="FFFCE4D6"/>
        </patternFill>
      </fill>
      <border/>
    </dxf>
    <dxf>
      <font/>
      <fill>
        <patternFill patternType="solid">
          <fgColor rgb="FFE2EFDA"/>
          <bgColor rgb="FFE2EFDA"/>
        </patternFill>
      </fill>
      <border/>
    </dxf>
    <dxf>
      <font/>
      <fill>
        <patternFill patternType="solid">
          <fgColor rgb="FFDDEBF7"/>
          <bgColor rgb="FFDDEBF7"/>
        </patternFill>
      </fill>
      <border/>
    </dxf>
    <dxf>
      <font/>
      <fill>
        <patternFill patternType="solid">
          <fgColor rgb="FFC6EFCE"/>
          <bgColor rgb="FFC6EFCE"/>
        </patternFill>
      </fill>
      <border/>
    </dxf>
    <dxf>
      <font/>
      <fill>
        <patternFill patternType="solid">
          <fgColor rgb="FFF8CBAD"/>
          <bgColor rgb="FFF8CBAD"/>
        </patternFill>
      </fill>
      <border/>
    </dxf>
    <dxf>
      <font/>
      <fill>
        <patternFill patternType="solid">
          <fgColor rgb="FFFFE699"/>
          <bgColor rgb="FFFFE699"/>
        </patternFill>
      </fill>
      <border/>
    </dxf>
    <dxf>
      <font/>
      <fill>
        <patternFill patternType="solid">
          <fgColor rgb="FFBDD7EE"/>
          <bgColor rgb="FFBDD7E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0"/>
    <col customWidth="1" min="2" max="2" width="26.0"/>
    <col customWidth="1" min="3" max="3" width="13.0"/>
    <col customWidth="1" min="4" max="4" width="34.0"/>
    <col customWidth="1" min="5" max="5" width="20.0"/>
    <col customWidth="1" min="6" max="7" width="13.0"/>
    <col customWidth="1" min="8" max="8" width="11.0"/>
    <col customWidth="1" min="9" max="9" width="12.0"/>
    <col customWidth="1" min="10" max="10" width="36.0"/>
    <col customWidth="1" min="11" max="11" width="24.0"/>
    <col customWidth="1" min="12" max="12" width="30.0"/>
    <col customWidth="1" min="13" max="13" width="48.0"/>
    <col customWidth="1" min="14" max="14" width="18.0"/>
    <col customWidth="1" min="15" max="15" width="9.0"/>
    <col customWidth="1" min="16" max="16" width="30.0"/>
    <col customWidth="1" min="17" max="17" width="8.0"/>
    <col customWidth="1" min="18" max="18" width="22.0"/>
    <col customWidth="1" min="19" max="19" width="11.0"/>
    <col customWidth="1" min="20" max="20" width="14.0"/>
    <col customWidth="1" min="21" max="21" width="8.71"/>
    <col customWidth="1" min="22" max="22" width="17.0"/>
    <col customWidth="1" min="23" max="23" width="6.0"/>
    <col customWidth="1" min="24" max="24" width="7.0"/>
    <col customWidth="1" min="25" max="26" width="8.71"/>
  </cols>
  <sheetData>
    <row r="1" ht="33.75" customHeight="1">
      <c r="A1" s="1" t="s">
        <v>2</v>
      </c>
      <c r="B1" s="3"/>
      <c r="C1" s="3"/>
      <c r="D1" s="3"/>
      <c r="E1" s="3"/>
      <c r="F1" s="3"/>
      <c r="G1" s="3"/>
      <c r="H1" s="3"/>
      <c r="I1" s="3"/>
      <c r="J1" s="3"/>
      <c r="K1" s="3"/>
      <c r="L1" s="3"/>
      <c r="M1" s="3"/>
      <c r="N1" s="3"/>
      <c r="O1" s="3"/>
      <c r="P1" s="3"/>
      <c r="Q1" s="3"/>
      <c r="R1" s="3"/>
      <c r="S1" s="3"/>
      <c r="T1" s="2"/>
    </row>
    <row r="2" ht="1.5" customHeight="1">
      <c r="A2" s="8" t="s">
        <v>25</v>
      </c>
      <c r="B2" s="3"/>
      <c r="C2" s="3"/>
      <c r="D2" s="3"/>
      <c r="E2" s="3"/>
      <c r="F2" s="3"/>
      <c r="G2" s="3"/>
      <c r="H2" s="3"/>
      <c r="I2" s="3"/>
      <c r="J2" s="3"/>
      <c r="K2" s="3"/>
      <c r="L2" s="3"/>
      <c r="M2" s="3"/>
      <c r="N2" s="3"/>
      <c r="O2" s="3"/>
      <c r="P2" s="3"/>
      <c r="Q2" s="3"/>
      <c r="R2" s="3"/>
      <c r="S2" s="3"/>
      <c r="T2" s="2"/>
    </row>
    <row r="3" ht="30.0" customHeight="1">
      <c r="A3" s="10" t="s">
        <v>66</v>
      </c>
      <c r="B3" s="3"/>
      <c r="C3" s="3"/>
      <c r="D3" s="3"/>
      <c r="E3" s="3"/>
      <c r="F3" s="3"/>
      <c r="G3" s="3"/>
      <c r="H3" s="3"/>
      <c r="I3" s="3"/>
      <c r="J3" s="3"/>
      <c r="K3" s="3"/>
      <c r="L3" s="3"/>
      <c r="M3" s="3"/>
      <c r="N3" s="3"/>
      <c r="O3" s="3"/>
      <c r="P3" s="3"/>
      <c r="Q3" s="3"/>
      <c r="R3" s="3"/>
      <c r="S3" s="3"/>
      <c r="T3" s="2"/>
    </row>
    <row r="4" ht="1.5" customHeight="1">
      <c r="A4" s="11" t="s">
        <v>104</v>
      </c>
      <c r="B4" s="3"/>
      <c r="C4" s="3"/>
      <c r="D4" s="3"/>
      <c r="E4" s="3"/>
      <c r="F4" s="3"/>
      <c r="G4" s="3"/>
      <c r="H4" s="3"/>
      <c r="I4" s="3"/>
      <c r="J4" s="3"/>
      <c r="K4" s="3"/>
      <c r="L4" s="3"/>
      <c r="M4" s="3"/>
      <c r="N4" s="3"/>
      <c r="O4" s="3"/>
      <c r="P4" s="3"/>
      <c r="Q4" s="3"/>
      <c r="R4" s="3"/>
      <c r="S4" s="3"/>
      <c r="T4" s="2"/>
    </row>
    <row r="5">
      <c r="V5" s="4" t="s">
        <v>145</v>
      </c>
      <c r="W5" s="4" t="s">
        <v>150</v>
      </c>
      <c r="X5" s="4" t="s">
        <v>154</v>
      </c>
    </row>
    <row r="6" ht="19.5" customHeight="1">
      <c r="A6" s="12" t="s">
        <v>163</v>
      </c>
      <c r="B6" s="3"/>
      <c r="C6" s="3"/>
      <c r="D6" s="3"/>
      <c r="E6" s="3"/>
      <c r="F6" s="3"/>
      <c r="G6" s="3"/>
      <c r="H6" s="3"/>
      <c r="I6" s="3"/>
      <c r="J6" s="3"/>
      <c r="K6" s="3"/>
      <c r="L6" s="3"/>
      <c r="M6" s="3"/>
      <c r="N6" s="3"/>
      <c r="O6" s="3"/>
      <c r="P6" s="3"/>
      <c r="Q6" s="3"/>
      <c r="R6" s="3"/>
      <c r="S6" s="3"/>
      <c r="T6" s="2"/>
      <c r="V6" s="13" t="s">
        <v>9</v>
      </c>
    </row>
    <row r="7">
      <c r="A7" s="4" t="s">
        <v>196</v>
      </c>
      <c r="B7" s="4" t="s">
        <v>4</v>
      </c>
      <c r="C7" s="4" t="s">
        <v>85</v>
      </c>
      <c r="D7" s="4" t="s">
        <v>201</v>
      </c>
      <c r="E7" s="4" t="s">
        <v>203</v>
      </c>
      <c r="F7" s="4" t="s">
        <v>9</v>
      </c>
      <c r="G7" s="4" t="s">
        <v>205</v>
      </c>
      <c r="H7" s="4" t="s">
        <v>90</v>
      </c>
      <c r="I7" s="4" t="s">
        <v>94</v>
      </c>
      <c r="J7" s="4" t="s">
        <v>209</v>
      </c>
      <c r="K7" s="4" t="s">
        <v>211</v>
      </c>
      <c r="L7" s="4" t="s">
        <v>213</v>
      </c>
      <c r="M7" s="4" t="s">
        <v>215</v>
      </c>
      <c r="N7" s="4" t="s">
        <v>216</v>
      </c>
      <c r="O7" s="4" t="s">
        <v>13</v>
      </c>
      <c r="P7" s="4" t="s">
        <v>218</v>
      </c>
      <c r="Q7" s="4" t="s">
        <v>219</v>
      </c>
      <c r="R7" s="4" t="s">
        <v>220</v>
      </c>
      <c r="S7" s="4" t="s">
        <v>222</v>
      </c>
      <c r="T7" s="4" t="s">
        <v>223</v>
      </c>
      <c r="V7" s="14" t="s">
        <v>27</v>
      </c>
      <c r="W7" s="14">
        <f>COUNTIF($F$8:$F$60,"Interrupción")</f>
        <v>9</v>
      </c>
      <c r="X7" s="15">
        <f t="shared" ref="X7:X9" si="1">IF((COUNTA($B$8:$B$60)-COUNTIF($B$8:$B$60,"Pieza"))=0,0,W7/(COUNTA($B$8:$B$60)-COUNTIF($B$8:$B$60,"Pieza")))</f>
        <v>0.3913043478</v>
      </c>
    </row>
    <row r="8">
      <c r="A8" s="5">
        <v>1.0</v>
      </c>
      <c r="B8" s="7" t="s">
        <v>313</v>
      </c>
      <c r="C8" s="5" t="s">
        <v>186</v>
      </c>
      <c r="D8" s="5" t="s">
        <v>320</v>
      </c>
      <c r="E8" s="5" t="s">
        <v>21</v>
      </c>
      <c r="F8" s="5" t="s">
        <v>27</v>
      </c>
      <c r="G8" s="5" t="s">
        <v>326</v>
      </c>
      <c r="H8" s="5" t="s">
        <v>136</v>
      </c>
      <c r="I8" s="5" t="s">
        <v>188</v>
      </c>
      <c r="J8" s="7" t="s">
        <v>330</v>
      </c>
      <c r="K8" s="5" t="s">
        <v>345</v>
      </c>
      <c r="L8" s="5" t="s">
        <v>348</v>
      </c>
      <c r="M8" s="5" t="s">
        <v>349</v>
      </c>
      <c r="N8" s="5" t="s">
        <v>350</v>
      </c>
      <c r="O8" s="5" t="s">
        <v>351</v>
      </c>
      <c r="P8" s="5" t="s">
        <v>353</v>
      </c>
      <c r="Q8" s="5">
        <v>1.0</v>
      </c>
      <c r="R8" s="5" t="s">
        <v>266</v>
      </c>
      <c r="S8" s="5" t="s">
        <v>361</v>
      </c>
      <c r="T8" s="5"/>
      <c r="V8" s="14" t="s">
        <v>126</v>
      </c>
      <c r="W8" s="14">
        <f>COUNTIF($F$8:$F$60,"Pregunta directa")</f>
        <v>13</v>
      </c>
      <c r="X8" s="15">
        <f t="shared" si="1"/>
        <v>0.5652173913</v>
      </c>
    </row>
    <row r="9">
      <c r="A9" s="6">
        <v>2.0</v>
      </c>
      <c r="B9" s="9" t="s">
        <v>389</v>
      </c>
      <c r="C9" s="6" t="s">
        <v>186</v>
      </c>
      <c r="D9" s="6" t="s">
        <v>392</v>
      </c>
      <c r="E9" s="6" t="s">
        <v>93</v>
      </c>
      <c r="F9" s="6" t="s">
        <v>27</v>
      </c>
      <c r="G9" s="6" t="s">
        <v>394</v>
      </c>
      <c r="H9" s="6" t="s">
        <v>136</v>
      </c>
      <c r="I9" s="6" t="s">
        <v>221</v>
      </c>
      <c r="J9" s="9" t="s">
        <v>396</v>
      </c>
      <c r="K9" s="6" t="s">
        <v>398</v>
      </c>
      <c r="L9" s="6" t="s">
        <v>400</v>
      </c>
      <c r="M9" s="6" t="s">
        <v>401</v>
      </c>
      <c r="N9" s="6" t="s">
        <v>403</v>
      </c>
      <c r="O9" s="6" t="s">
        <v>404</v>
      </c>
      <c r="P9" s="6" t="s">
        <v>407</v>
      </c>
      <c r="Q9" s="6">
        <v>1.0</v>
      </c>
      <c r="R9" s="6" t="s">
        <v>408</v>
      </c>
      <c r="S9" s="6" t="s">
        <v>361</v>
      </c>
      <c r="T9" s="6"/>
      <c r="V9" s="14" t="s">
        <v>169</v>
      </c>
      <c r="W9" s="14">
        <f>COUNTIF($F$8:$F$60,"Otro")</f>
        <v>1</v>
      </c>
      <c r="X9" s="15">
        <f t="shared" si="1"/>
        <v>0.04347826087</v>
      </c>
    </row>
    <row r="10">
      <c r="A10" s="5">
        <v>3.0</v>
      </c>
      <c r="B10" s="7" t="s">
        <v>418</v>
      </c>
      <c r="C10" s="5" t="s">
        <v>186</v>
      </c>
      <c r="D10" s="5" t="s">
        <v>420</v>
      </c>
      <c r="E10" s="5" t="s">
        <v>125</v>
      </c>
      <c r="F10" s="5" t="s">
        <v>126</v>
      </c>
      <c r="G10" s="5" t="s">
        <v>394</v>
      </c>
      <c r="H10" s="5" t="s">
        <v>136</v>
      </c>
      <c r="I10" s="5" t="s">
        <v>139</v>
      </c>
      <c r="J10" s="7" t="s">
        <v>425</v>
      </c>
      <c r="K10" s="5" t="s">
        <v>427</v>
      </c>
      <c r="L10" s="5" t="s">
        <v>429</v>
      </c>
      <c r="M10" s="5" t="s">
        <v>431</v>
      </c>
      <c r="N10" s="5" t="s">
        <v>432</v>
      </c>
      <c r="O10" s="5" t="s">
        <v>433</v>
      </c>
      <c r="P10" s="5" t="s">
        <v>435</v>
      </c>
      <c r="Q10" s="5">
        <v>2.0</v>
      </c>
      <c r="R10" s="5" t="s">
        <v>436</v>
      </c>
      <c r="S10" s="5" t="s">
        <v>361</v>
      </c>
      <c r="T10" s="5"/>
      <c r="V10" s="13" t="s">
        <v>90</v>
      </c>
    </row>
    <row r="11">
      <c r="V11" s="14" t="s">
        <v>136</v>
      </c>
      <c r="W11" s="14">
        <f>COUNTIF($H$8:$H$60,"VALIDADO 70%")</f>
        <v>14</v>
      </c>
      <c r="X11" s="15">
        <f t="shared" ref="X11:X12" si="2">IF((COUNTA($B$8:$B$60)-COUNTIF($B$8:$B$60,"Pieza"))=0,0,W11/(COUNTA($B$8:$B$60)-COUNTIF($B$8:$B$60,"Pieza")))</f>
        <v>0.6086956522</v>
      </c>
    </row>
    <row r="12" ht="19.5" customHeight="1">
      <c r="A12" s="12" t="s">
        <v>458</v>
      </c>
      <c r="B12" s="3"/>
      <c r="C12" s="3"/>
      <c r="D12" s="3"/>
      <c r="E12" s="3"/>
      <c r="F12" s="3"/>
      <c r="G12" s="3"/>
      <c r="H12" s="3"/>
      <c r="I12" s="3"/>
      <c r="J12" s="3"/>
      <c r="K12" s="3"/>
      <c r="L12" s="3"/>
      <c r="M12" s="3"/>
      <c r="N12" s="3"/>
      <c r="O12" s="3"/>
      <c r="P12" s="3"/>
      <c r="Q12" s="3"/>
      <c r="R12" s="3"/>
      <c r="S12" s="3"/>
      <c r="T12" s="2"/>
      <c r="V12" s="14" t="s">
        <v>236</v>
      </c>
      <c r="W12" s="14">
        <f>COUNTIF($H$8:$H$60,"NUEVO 30%")</f>
        <v>9</v>
      </c>
      <c r="X12" s="15">
        <f t="shared" si="2"/>
        <v>0.3913043478</v>
      </c>
    </row>
    <row r="13">
      <c r="A13" s="4" t="s">
        <v>196</v>
      </c>
      <c r="B13" s="4" t="s">
        <v>4</v>
      </c>
      <c r="C13" s="4" t="s">
        <v>85</v>
      </c>
      <c r="D13" s="4" t="s">
        <v>201</v>
      </c>
      <c r="E13" s="4" t="s">
        <v>203</v>
      </c>
      <c r="F13" s="4" t="s">
        <v>9</v>
      </c>
      <c r="G13" s="4" t="s">
        <v>205</v>
      </c>
      <c r="H13" s="4" t="s">
        <v>90</v>
      </c>
      <c r="I13" s="4" t="s">
        <v>94</v>
      </c>
      <c r="J13" s="4" t="s">
        <v>209</v>
      </c>
      <c r="K13" s="4" t="s">
        <v>211</v>
      </c>
      <c r="L13" s="4" t="s">
        <v>213</v>
      </c>
      <c r="M13" s="4" t="s">
        <v>215</v>
      </c>
      <c r="N13" s="4" t="s">
        <v>216</v>
      </c>
      <c r="O13" s="4" t="s">
        <v>13</v>
      </c>
      <c r="P13" s="4" t="s">
        <v>218</v>
      </c>
      <c r="Q13" s="4" t="s">
        <v>219</v>
      </c>
      <c r="R13" s="4" t="s">
        <v>220</v>
      </c>
      <c r="S13" s="4" t="s">
        <v>222</v>
      </c>
      <c r="T13" s="4" t="s">
        <v>223</v>
      </c>
      <c r="V13" s="13" t="s">
        <v>205</v>
      </c>
    </row>
    <row r="14">
      <c r="A14" s="5">
        <v>4.0</v>
      </c>
      <c r="B14" s="7" t="s">
        <v>485</v>
      </c>
      <c r="C14" s="5" t="s">
        <v>131</v>
      </c>
      <c r="D14" s="5" t="s">
        <v>486</v>
      </c>
      <c r="E14" s="5" t="s">
        <v>21</v>
      </c>
      <c r="F14" s="5" t="s">
        <v>27</v>
      </c>
      <c r="G14" s="5" t="s">
        <v>477</v>
      </c>
      <c r="H14" s="5" t="s">
        <v>136</v>
      </c>
      <c r="I14" s="5" t="s">
        <v>139</v>
      </c>
      <c r="J14" s="7" t="s">
        <v>488</v>
      </c>
      <c r="K14" s="5" t="s">
        <v>490</v>
      </c>
      <c r="L14" s="5" t="s">
        <v>491</v>
      </c>
      <c r="M14" s="5" t="s">
        <v>493</v>
      </c>
      <c r="N14" s="5" t="s">
        <v>495</v>
      </c>
      <c r="O14" s="5" t="s">
        <v>496</v>
      </c>
      <c r="P14" s="5" t="s">
        <v>498</v>
      </c>
      <c r="Q14" s="5">
        <v>1.0</v>
      </c>
      <c r="R14" s="5" t="s">
        <v>254</v>
      </c>
      <c r="S14" s="5" t="s">
        <v>361</v>
      </c>
      <c r="T14" s="5"/>
      <c r="V14" s="14" t="s">
        <v>326</v>
      </c>
      <c r="W14" s="14">
        <f>COUNTIF($G$8:$G$60,"TOFU/captación")</f>
        <v>3</v>
      </c>
      <c r="X14" s="15">
        <f t="shared" ref="X14:X18" si="3">IF((COUNTA($B$8:$B$60)-COUNTIF($B$8:$B$60,"Pieza"))=0,0,W14/(COUNTA($B$8:$B$60)-COUNTIF($B$8:$B$60,"Pieza")))</f>
        <v>0.1304347826</v>
      </c>
    </row>
    <row r="15">
      <c r="A15" s="6">
        <v>5.0</v>
      </c>
      <c r="B15" s="9" t="s">
        <v>518</v>
      </c>
      <c r="C15" s="6" t="s">
        <v>131</v>
      </c>
      <c r="D15" s="6" t="s">
        <v>520</v>
      </c>
      <c r="E15" s="6" t="s">
        <v>153</v>
      </c>
      <c r="F15" s="6" t="s">
        <v>126</v>
      </c>
      <c r="G15" s="6" t="s">
        <v>477</v>
      </c>
      <c r="H15" s="6" t="s">
        <v>136</v>
      </c>
      <c r="I15" s="6" t="s">
        <v>139</v>
      </c>
      <c r="J15" s="9" t="s">
        <v>524</v>
      </c>
      <c r="K15" s="6" t="s">
        <v>525</v>
      </c>
      <c r="L15" s="6" t="s">
        <v>526</v>
      </c>
      <c r="M15" s="6" t="s">
        <v>528</v>
      </c>
      <c r="N15" s="6" t="s">
        <v>529</v>
      </c>
      <c r="O15" s="6" t="s">
        <v>530</v>
      </c>
      <c r="P15" s="6" t="s">
        <v>533</v>
      </c>
      <c r="Q15" s="6">
        <v>1.0</v>
      </c>
      <c r="R15" s="6" t="s">
        <v>534</v>
      </c>
      <c r="S15" s="6" t="s">
        <v>361</v>
      </c>
      <c r="T15" s="6"/>
      <c r="V15" s="14" t="s">
        <v>394</v>
      </c>
      <c r="W15" s="14">
        <f>COUNTIF($G$8:$G$60,"problema")</f>
        <v>4</v>
      </c>
      <c r="X15" s="15">
        <f t="shared" si="3"/>
        <v>0.1739130435</v>
      </c>
    </row>
    <row r="16">
      <c r="A16" s="5">
        <v>6.0</v>
      </c>
      <c r="B16" s="7" t="s">
        <v>542</v>
      </c>
      <c r="C16" s="5" t="s">
        <v>131</v>
      </c>
      <c r="D16" s="5" t="s">
        <v>544</v>
      </c>
      <c r="E16" s="5" t="s">
        <v>138</v>
      </c>
      <c r="F16" s="5" t="s">
        <v>126</v>
      </c>
      <c r="G16" s="5" t="s">
        <v>394</v>
      </c>
      <c r="H16" s="5" t="s">
        <v>136</v>
      </c>
      <c r="I16" s="5" t="s">
        <v>139</v>
      </c>
      <c r="J16" s="7" t="s">
        <v>547</v>
      </c>
      <c r="K16" s="5" t="s">
        <v>549</v>
      </c>
      <c r="L16" s="5" t="s">
        <v>550</v>
      </c>
      <c r="M16" s="5" t="s">
        <v>551</v>
      </c>
      <c r="N16" s="5" t="s">
        <v>552</v>
      </c>
      <c r="O16" s="5" t="s">
        <v>433</v>
      </c>
      <c r="P16" s="5" t="s">
        <v>553</v>
      </c>
      <c r="Q16" s="5">
        <v>2.0</v>
      </c>
      <c r="R16" s="5" t="s">
        <v>319</v>
      </c>
      <c r="S16" s="5" t="s">
        <v>361</v>
      </c>
      <c r="T16" s="5"/>
      <c r="V16" s="14" t="s">
        <v>477</v>
      </c>
      <c r="W16" s="14">
        <f>COUNTIF($G$8:$G$60,"solución")</f>
        <v>11</v>
      </c>
      <c r="X16" s="15">
        <f t="shared" si="3"/>
        <v>0.4782608696</v>
      </c>
    </row>
    <row r="17">
      <c r="A17" s="6">
        <v>7.0</v>
      </c>
      <c r="B17" s="9" t="s">
        <v>560</v>
      </c>
      <c r="C17" s="6" t="s">
        <v>131</v>
      </c>
      <c r="D17" s="6" t="s">
        <v>562</v>
      </c>
      <c r="E17" s="6" t="s">
        <v>153</v>
      </c>
      <c r="F17" s="6" t="s">
        <v>126</v>
      </c>
      <c r="G17" s="6" t="s">
        <v>477</v>
      </c>
      <c r="H17" s="6" t="s">
        <v>236</v>
      </c>
      <c r="I17" s="6" t="s">
        <v>221</v>
      </c>
      <c r="J17" s="9" t="s">
        <v>567</v>
      </c>
      <c r="K17" s="6" t="s">
        <v>569</v>
      </c>
      <c r="L17" s="6" t="s">
        <v>570</v>
      </c>
      <c r="M17" s="6" t="s">
        <v>573</v>
      </c>
      <c r="N17" s="6" t="s">
        <v>575</v>
      </c>
      <c r="O17" s="6" t="s">
        <v>530</v>
      </c>
      <c r="P17" s="6" t="s">
        <v>578</v>
      </c>
      <c r="Q17" s="6">
        <v>2.0</v>
      </c>
      <c r="R17" s="6" t="s">
        <v>580</v>
      </c>
      <c r="S17" s="6" t="s">
        <v>361</v>
      </c>
      <c r="T17" s="6"/>
      <c r="V17" s="14" t="s">
        <v>480</v>
      </c>
      <c r="W17" s="14">
        <f>COUNTIF($G$8:$G$60,"producto")</f>
        <v>4</v>
      </c>
      <c r="X17" s="15">
        <f t="shared" si="3"/>
        <v>0.1739130435</v>
      </c>
    </row>
    <row r="18">
      <c r="A18" s="5">
        <v>8.0</v>
      </c>
      <c r="B18" s="7" t="s">
        <v>593</v>
      </c>
      <c r="C18" s="5" t="s">
        <v>131</v>
      </c>
      <c r="D18" s="5" t="s">
        <v>595</v>
      </c>
      <c r="E18" s="5" t="s">
        <v>74</v>
      </c>
      <c r="F18" s="5" t="s">
        <v>27</v>
      </c>
      <c r="G18" s="5" t="s">
        <v>477</v>
      </c>
      <c r="H18" s="5" t="s">
        <v>236</v>
      </c>
      <c r="I18" s="5" t="s">
        <v>221</v>
      </c>
      <c r="J18" s="7" t="s">
        <v>600</v>
      </c>
      <c r="K18" s="5" t="s">
        <v>601</v>
      </c>
      <c r="L18" s="5" t="s">
        <v>603</v>
      </c>
      <c r="M18" s="5" t="s">
        <v>605</v>
      </c>
      <c r="N18" s="5" t="s">
        <v>607</v>
      </c>
      <c r="O18" s="5" t="s">
        <v>433</v>
      </c>
      <c r="P18" s="5" t="s">
        <v>609</v>
      </c>
      <c r="Q18" s="5">
        <v>3.0</v>
      </c>
      <c r="R18" s="5" t="s">
        <v>612</v>
      </c>
      <c r="S18" s="5" t="s">
        <v>361</v>
      </c>
      <c r="T18" s="5"/>
      <c r="V18" s="14" t="s">
        <v>483</v>
      </c>
      <c r="W18" s="14">
        <f>COUNTIF($G$8:$G$60,"otro/mentalidad")</f>
        <v>1</v>
      </c>
      <c r="X18" s="15">
        <f t="shared" si="3"/>
        <v>0.04347826087</v>
      </c>
    </row>
    <row r="19">
      <c r="V19" s="13" t="s">
        <v>222</v>
      </c>
    </row>
    <row r="20" ht="19.5" customHeight="1">
      <c r="A20" s="12" t="s">
        <v>623</v>
      </c>
      <c r="B20" s="3"/>
      <c r="C20" s="3"/>
      <c r="D20" s="3"/>
      <c r="E20" s="3"/>
      <c r="F20" s="3"/>
      <c r="G20" s="3"/>
      <c r="H20" s="3"/>
      <c r="I20" s="3"/>
      <c r="J20" s="3"/>
      <c r="K20" s="3"/>
      <c r="L20" s="3"/>
      <c r="M20" s="3"/>
      <c r="N20" s="3"/>
      <c r="O20" s="3"/>
      <c r="P20" s="3"/>
      <c r="Q20" s="3"/>
      <c r="R20" s="3"/>
      <c r="S20" s="3"/>
      <c r="T20" s="2"/>
      <c r="V20" s="14" t="s">
        <v>361</v>
      </c>
      <c r="W20" s="14">
        <f>COUNTIF($S$8:$S$60,"A GRABAR")</f>
        <v>23</v>
      </c>
      <c r="X20" s="15">
        <f t="shared" ref="X20:X24" si="4">IF((COUNTA($B$8:$B$60)-COUNTIF($B$8:$B$60,"Pieza"))=0,0,W20/(COUNTA($B$8:$B$60)-COUNTIF($B$8:$B$60,"Pieza")))</f>
        <v>1</v>
      </c>
    </row>
    <row r="21" ht="15.75" customHeight="1">
      <c r="A21" s="4" t="s">
        <v>196</v>
      </c>
      <c r="B21" s="4" t="s">
        <v>4</v>
      </c>
      <c r="C21" s="4" t="s">
        <v>85</v>
      </c>
      <c r="D21" s="4" t="s">
        <v>201</v>
      </c>
      <c r="E21" s="4" t="s">
        <v>203</v>
      </c>
      <c r="F21" s="4" t="s">
        <v>9</v>
      </c>
      <c r="G21" s="4" t="s">
        <v>205</v>
      </c>
      <c r="H21" s="4" t="s">
        <v>90</v>
      </c>
      <c r="I21" s="4" t="s">
        <v>94</v>
      </c>
      <c r="J21" s="4" t="s">
        <v>209</v>
      </c>
      <c r="K21" s="4" t="s">
        <v>211</v>
      </c>
      <c r="L21" s="4" t="s">
        <v>213</v>
      </c>
      <c r="M21" s="4" t="s">
        <v>215</v>
      </c>
      <c r="N21" s="4" t="s">
        <v>216</v>
      </c>
      <c r="O21" s="4" t="s">
        <v>13</v>
      </c>
      <c r="P21" s="4" t="s">
        <v>218</v>
      </c>
      <c r="Q21" s="4" t="s">
        <v>219</v>
      </c>
      <c r="R21" s="4" t="s">
        <v>220</v>
      </c>
      <c r="S21" s="4" t="s">
        <v>222</v>
      </c>
      <c r="T21" s="4" t="s">
        <v>223</v>
      </c>
      <c r="V21" s="14" t="s">
        <v>475</v>
      </c>
      <c r="W21" s="14">
        <f>COUNTIF($S$8:$S$60,"GRABADO")</f>
        <v>0</v>
      </c>
      <c r="X21" s="15">
        <f t="shared" si="4"/>
        <v>0</v>
      </c>
    </row>
    <row r="22" ht="15.75" customHeight="1">
      <c r="A22" s="5">
        <v>9.0</v>
      </c>
      <c r="B22" s="7" t="s">
        <v>646</v>
      </c>
      <c r="C22" s="5" t="s">
        <v>249</v>
      </c>
      <c r="D22" s="5" t="s">
        <v>648</v>
      </c>
      <c r="E22" s="5" t="s">
        <v>74</v>
      </c>
      <c r="F22" s="5" t="s">
        <v>27</v>
      </c>
      <c r="G22" s="5" t="s">
        <v>477</v>
      </c>
      <c r="H22" s="5" t="s">
        <v>136</v>
      </c>
      <c r="I22" s="5" t="s">
        <v>221</v>
      </c>
      <c r="J22" s="7" t="s">
        <v>650</v>
      </c>
      <c r="K22" s="5" t="s">
        <v>651</v>
      </c>
      <c r="L22" s="5" t="s">
        <v>652</v>
      </c>
      <c r="M22" s="5" t="s">
        <v>653</v>
      </c>
      <c r="N22" s="5" t="s">
        <v>654</v>
      </c>
      <c r="O22" s="5" t="s">
        <v>655</v>
      </c>
      <c r="P22" s="5" t="s">
        <v>656</v>
      </c>
      <c r="Q22" s="5">
        <v>1.0</v>
      </c>
      <c r="R22" s="5" t="s">
        <v>657</v>
      </c>
      <c r="S22" s="5" t="s">
        <v>361</v>
      </c>
      <c r="T22" s="5"/>
      <c r="V22" s="14" t="s">
        <v>478</v>
      </c>
      <c r="W22" s="14">
        <f>COUNTIF($S$8:$S$60,"A EDITAR")</f>
        <v>0</v>
      </c>
      <c r="X22" s="15">
        <f t="shared" si="4"/>
        <v>0</v>
      </c>
    </row>
    <row r="23" ht="15.75" customHeight="1">
      <c r="A23" s="6">
        <v>10.0</v>
      </c>
      <c r="B23" s="9" t="s">
        <v>659</v>
      </c>
      <c r="C23" s="6" t="s">
        <v>249</v>
      </c>
      <c r="D23" s="6" t="s">
        <v>660</v>
      </c>
      <c r="E23" s="6" t="s">
        <v>153</v>
      </c>
      <c r="F23" s="6" t="s">
        <v>126</v>
      </c>
      <c r="G23" s="6" t="s">
        <v>477</v>
      </c>
      <c r="H23" s="6" t="s">
        <v>136</v>
      </c>
      <c r="I23" s="6" t="s">
        <v>221</v>
      </c>
      <c r="J23" s="9" t="s">
        <v>661</v>
      </c>
      <c r="K23" s="6" t="s">
        <v>662</v>
      </c>
      <c r="L23" s="6" t="s">
        <v>663</v>
      </c>
      <c r="M23" s="6" t="s">
        <v>664</v>
      </c>
      <c r="N23" s="6" t="s">
        <v>665</v>
      </c>
      <c r="O23" s="6" t="s">
        <v>666</v>
      </c>
      <c r="P23" s="6" t="s">
        <v>667</v>
      </c>
      <c r="Q23" s="6">
        <v>2.0</v>
      </c>
      <c r="R23" s="6" t="s">
        <v>534</v>
      </c>
      <c r="S23" s="6" t="s">
        <v>361</v>
      </c>
      <c r="T23" s="6"/>
      <c r="V23" s="14" t="s">
        <v>482</v>
      </c>
      <c r="W23" s="14">
        <f>COUNTIF($S$8:$S$60,"PUBLICADO")</f>
        <v>0</v>
      </c>
      <c r="X23" s="15">
        <f t="shared" si="4"/>
        <v>0</v>
      </c>
    </row>
    <row r="24" ht="15.75" customHeight="1">
      <c r="V24" s="14" t="s">
        <v>484</v>
      </c>
      <c r="W24" s="14">
        <f>COUNTIF($S$8:$S$60,"DESCARTADA")</f>
        <v>0</v>
      </c>
      <c r="X24" s="15">
        <f t="shared" si="4"/>
        <v>0</v>
      </c>
    </row>
    <row r="25" ht="19.5" customHeight="1">
      <c r="A25" s="12" t="s">
        <v>669</v>
      </c>
      <c r="B25" s="3"/>
      <c r="C25" s="3"/>
      <c r="D25" s="3"/>
      <c r="E25" s="3"/>
      <c r="F25" s="3"/>
      <c r="G25" s="3"/>
      <c r="H25" s="3"/>
      <c r="I25" s="3"/>
      <c r="J25" s="3"/>
      <c r="K25" s="3"/>
      <c r="L25" s="3"/>
      <c r="M25" s="3"/>
      <c r="N25" s="3"/>
      <c r="O25" s="3"/>
      <c r="P25" s="3"/>
      <c r="Q25" s="3"/>
      <c r="R25" s="3"/>
      <c r="S25" s="3"/>
      <c r="T25" s="2"/>
    </row>
    <row r="26" ht="15.75" customHeight="1">
      <c r="A26" s="4" t="s">
        <v>196</v>
      </c>
      <c r="B26" s="4" t="s">
        <v>4</v>
      </c>
      <c r="C26" s="4" t="s">
        <v>85</v>
      </c>
      <c r="D26" s="4" t="s">
        <v>201</v>
      </c>
      <c r="E26" s="4" t="s">
        <v>203</v>
      </c>
      <c r="F26" s="4" t="s">
        <v>9</v>
      </c>
      <c r="G26" s="4" t="s">
        <v>205</v>
      </c>
      <c r="H26" s="4" t="s">
        <v>90</v>
      </c>
      <c r="I26" s="4" t="s">
        <v>94</v>
      </c>
      <c r="J26" s="4" t="s">
        <v>209</v>
      </c>
      <c r="K26" s="4" t="s">
        <v>211</v>
      </c>
      <c r="L26" s="4" t="s">
        <v>213</v>
      </c>
      <c r="M26" s="4" t="s">
        <v>215</v>
      </c>
      <c r="N26" s="4" t="s">
        <v>216</v>
      </c>
      <c r="O26" s="4" t="s">
        <v>13</v>
      </c>
      <c r="P26" s="4" t="s">
        <v>218</v>
      </c>
      <c r="Q26" s="4" t="s">
        <v>219</v>
      </c>
      <c r="R26" s="4" t="s">
        <v>220</v>
      </c>
      <c r="S26" s="4" t="s">
        <v>222</v>
      </c>
      <c r="T26" s="4" t="s">
        <v>223</v>
      </c>
    </row>
    <row r="27" ht="15.75" customHeight="1">
      <c r="A27" s="5">
        <v>11.0</v>
      </c>
      <c r="B27" s="7" t="s">
        <v>673</v>
      </c>
      <c r="C27" s="5" t="s">
        <v>271</v>
      </c>
      <c r="D27" s="5" t="s">
        <v>674</v>
      </c>
      <c r="E27" s="5" t="s">
        <v>138</v>
      </c>
      <c r="F27" s="5" t="s">
        <v>126</v>
      </c>
      <c r="G27" s="5" t="s">
        <v>326</v>
      </c>
      <c r="H27" s="5" t="s">
        <v>136</v>
      </c>
      <c r="I27" s="5" t="s">
        <v>221</v>
      </c>
      <c r="J27" s="7" t="s">
        <v>675</v>
      </c>
      <c r="K27" s="5" t="s">
        <v>676</v>
      </c>
      <c r="L27" s="5" t="s">
        <v>677</v>
      </c>
      <c r="M27" s="5" t="s">
        <v>679</v>
      </c>
      <c r="N27" s="5" t="s">
        <v>680</v>
      </c>
      <c r="O27" s="5" t="s">
        <v>433</v>
      </c>
      <c r="P27" s="5" t="s">
        <v>681</v>
      </c>
      <c r="Q27" s="5">
        <v>1.0</v>
      </c>
      <c r="R27" s="5" t="s">
        <v>682</v>
      </c>
      <c r="S27" s="5" t="s">
        <v>361</v>
      </c>
      <c r="T27" s="5"/>
    </row>
    <row r="28" ht="15.75" customHeight="1">
      <c r="A28" s="6">
        <v>12.0</v>
      </c>
      <c r="B28" s="9" t="s">
        <v>683</v>
      </c>
      <c r="C28" s="6" t="s">
        <v>283</v>
      </c>
      <c r="D28" s="6" t="s">
        <v>684</v>
      </c>
      <c r="E28" s="6" t="s">
        <v>153</v>
      </c>
      <c r="F28" s="6" t="s">
        <v>126</v>
      </c>
      <c r="G28" s="6" t="s">
        <v>326</v>
      </c>
      <c r="H28" s="6" t="s">
        <v>136</v>
      </c>
      <c r="I28" s="6" t="s">
        <v>139</v>
      </c>
      <c r="J28" s="9" t="s">
        <v>686</v>
      </c>
      <c r="K28" s="6" t="s">
        <v>687</v>
      </c>
      <c r="L28" s="6" t="s">
        <v>688</v>
      </c>
      <c r="M28" s="6" t="s">
        <v>689</v>
      </c>
      <c r="N28" s="6" t="s">
        <v>690</v>
      </c>
      <c r="O28" s="6" t="s">
        <v>433</v>
      </c>
      <c r="P28" s="6" t="s">
        <v>691</v>
      </c>
      <c r="Q28" s="6">
        <v>2.0</v>
      </c>
      <c r="R28" s="6" t="s">
        <v>580</v>
      </c>
      <c r="S28" s="6" t="s">
        <v>361</v>
      </c>
      <c r="T28" s="6"/>
    </row>
    <row r="29" ht="15.75" customHeight="1"/>
    <row r="30" ht="19.5" customHeight="1">
      <c r="A30" s="12" t="s">
        <v>692</v>
      </c>
      <c r="B30" s="3"/>
      <c r="C30" s="3"/>
      <c r="D30" s="3"/>
      <c r="E30" s="3"/>
      <c r="F30" s="3"/>
      <c r="G30" s="3"/>
      <c r="H30" s="3"/>
      <c r="I30" s="3"/>
      <c r="J30" s="3"/>
      <c r="K30" s="3"/>
      <c r="L30" s="3"/>
      <c r="M30" s="3"/>
      <c r="N30" s="3"/>
      <c r="O30" s="3"/>
      <c r="P30" s="3"/>
      <c r="Q30" s="3"/>
      <c r="R30" s="3"/>
      <c r="S30" s="3"/>
      <c r="T30" s="2"/>
    </row>
    <row r="31" ht="15.75" customHeight="1">
      <c r="A31" s="4" t="s">
        <v>196</v>
      </c>
      <c r="B31" s="4" t="s">
        <v>4</v>
      </c>
      <c r="C31" s="4" t="s">
        <v>85</v>
      </c>
      <c r="D31" s="4" t="s">
        <v>201</v>
      </c>
      <c r="E31" s="4" t="s">
        <v>203</v>
      </c>
      <c r="F31" s="4" t="s">
        <v>9</v>
      </c>
      <c r="G31" s="4" t="s">
        <v>205</v>
      </c>
      <c r="H31" s="4" t="s">
        <v>90</v>
      </c>
      <c r="I31" s="4" t="s">
        <v>94</v>
      </c>
      <c r="J31" s="4" t="s">
        <v>209</v>
      </c>
      <c r="K31" s="4" t="s">
        <v>211</v>
      </c>
      <c r="L31" s="4" t="s">
        <v>213</v>
      </c>
      <c r="M31" s="4" t="s">
        <v>215</v>
      </c>
      <c r="N31" s="4" t="s">
        <v>216</v>
      </c>
      <c r="O31" s="4" t="s">
        <v>13</v>
      </c>
      <c r="P31" s="4" t="s">
        <v>218</v>
      </c>
      <c r="Q31" s="4" t="s">
        <v>219</v>
      </c>
      <c r="R31" s="4" t="s">
        <v>220</v>
      </c>
      <c r="S31" s="4" t="s">
        <v>222</v>
      </c>
      <c r="T31" s="4" t="s">
        <v>223</v>
      </c>
    </row>
    <row r="32" ht="15.75" customHeight="1">
      <c r="A32" s="5">
        <v>13.0</v>
      </c>
      <c r="B32" s="7" t="s">
        <v>694</v>
      </c>
      <c r="C32" s="5" t="s">
        <v>340</v>
      </c>
      <c r="D32" s="5" t="s">
        <v>695</v>
      </c>
      <c r="E32" s="5" t="s">
        <v>21</v>
      </c>
      <c r="F32" s="5" t="s">
        <v>27</v>
      </c>
      <c r="G32" s="5" t="s">
        <v>477</v>
      </c>
      <c r="H32" s="5" t="s">
        <v>136</v>
      </c>
      <c r="I32" s="5" t="s">
        <v>188</v>
      </c>
      <c r="J32" s="7" t="s">
        <v>696</v>
      </c>
      <c r="K32" s="5" t="s">
        <v>697</v>
      </c>
      <c r="L32" s="5" t="s">
        <v>698</v>
      </c>
      <c r="M32" s="5" t="s">
        <v>700</v>
      </c>
      <c r="N32" s="5" t="s">
        <v>701</v>
      </c>
      <c r="O32" s="5" t="s">
        <v>530</v>
      </c>
      <c r="P32" s="5" t="s">
        <v>702</v>
      </c>
      <c r="Q32" s="5">
        <v>1.0</v>
      </c>
      <c r="R32" s="5" t="s">
        <v>254</v>
      </c>
      <c r="S32" s="5" t="s">
        <v>361</v>
      </c>
      <c r="T32" s="5"/>
    </row>
    <row r="33" ht="15.75" customHeight="1"/>
    <row r="34" ht="19.5" customHeight="1">
      <c r="A34" s="12" t="s">
        <v>703</v>
      </c>
      <c r="B34" s="3"/>
      <c r="C34" s="3"/>
      <c r="D34" s="3"/>
      <c r="E34" s="3"/>
      <c r="F34" s="3"/>
      <c r="G34" s="3"/>
      <c r="H34" s="3"/>
      <c r="I34" s="3"/>
      <c r="J34" s="3"/>
      <c r="K34" s="3"/>
      <c r="L34" s="3"/>
      <c r="M34" s="3"/>
      <c r="N34" s="3"/>
      <c r="O34" s="3"/>
      <c r="P34" s="3"/>
      <c r="Q34" s="3"/>
      <c r="R34" s="3"/>
      <c r="S34" s="3"/>
      <c r="T34" s="2"/>
    </row>
    <row r="35" ht="15.75" customHeight="1">
      <c r="A35" s="4" t="s">
        <v>196</v>
      </c>
      <c r="B35" s="4" t="s">
        <v>4</v>
      </c>
      <c r="C35" s="4" t="s">
        <v>85</v>
      </c>
      <c r="D35" s="4" t="s">
        <v>201</v>
      </c>
      <c r="E35" s="4" t="s">
        <v>203</v>
      </c>
      <c r="F35" s="4" t="s">
        <v>9</v>
      </c>
      <c r="G35" s="4" t="s">
        <v>205</v>
      </c>
      <c r="H35" s="4" t="s">
        <v>90</v>
      </c>
      <c r="I35" s="4" t="s">
        <v>94</v>
      </c>
      <c r="J35" s="4" t="s">
        <v>209</v>
      </c>
      <c r="K35" s="4" t="s">
        <v>211</v>
      </c>
      <c r="L35" s="4" t="s">
        <v>213</v>
      </c>
      <c r="M35" s="4" t="s">
        <v>215</v>
      </c>
      <c r="N35" s="4" t="s">
        <v>216</v>
      </c>
      <c r="O35" s="4" t="s">
        <v>13</v>
      </c>
      <c r="P35" s="4" t="s">
        <v>218</v>
      </c>
      <c r="Q35" s="4" t="s">
        <v>219</v>
      </c>
      <c r="R35" s="4" t="s">
        <v>220</v>
      </c>
      <c r="S35" s="4" t="s">
        <v>222</v>
      </c>
      <c r="T35" s="4" t="s">
        <v>223</v>
      </c>
    </row>
    <row r="36" ht="15.75" customHeight="1">
      <c r="A36" s="5">
        <v>14.0</v>
      </c>
      <c r="B36" s="7" t="s">
        <v>706</v>
      </c>
      <c r="C36" s="5" t="s">
        <v>261</v>
      </c>
      <c r="D36" s="5" t="s">
        <v>707</v>
      </c>
      <c r="E36" s="5" t="s">
        <v>153</v>
      </c>
      <c r="F36" s="5" t="s">
        <v>126</v>
      </c>
      <c r="G36" s="5" t="s">
        <v>477</v>
      </c>
      <c r="H36" s="5" t="s">
        <v>136</v>
      </c>
      <c r="I36" s="5" t="s">
        <v>188</v>
      </c>
      <c r="J36" s="7" t="s">
        <v>708</v>
      </c>
      <c r="K36" s="5" t="s">
        <v>709</v>
      </c>
      <c r="L36" s="5" t="s">
        <v>710</v>
      </c>
      <c r="M36" s="5" t="s">
        <v>712</v>
      </c>
      <c r="N36" s="5" t="s">
        <v>713</v>
      </c>
      <c r="O36" s="5" t="s">
        <v>433</v>
      </c>
      <c r="P36" s="5" t="s">
        <v>714</v>
      </c>
      <c r="Q36" s="5">
        <v>1.0</v>
      </c>
      <c r="R36" s="5" t="s">
        <v>534</v>
      </c>
      <c r="S36" s="5" t="s">
        <v>361</v>
      </c>
      <c r="T36" s="5"/>
    </row>
    <row r="37" ht="15.75" customHeight="1"/>
    <row r="38" ht="19.5" customHeight="1">
      <c r="A38" s="12" t="s">
        <v>715</v>
      </c>
      <c r="B38" s="3"/>
      <c r="C38" s="3"/>
      <c r="D38" s="3"/>
      <c r="E38" s="3"/>
      <c r="F38" s="3"/>
      <c r="G38" s="3"/>
      <c r="H38" s="3"/>
      <c r="I38" s="3"/>
      <c r="J38" s="3"/>
      <c r="K38" s="3"/>
      <c r="L38" s="3"/>
      <c r="M38" s="3"/>
      <c r="N38" s="3"/>
      <c r="O38" s="3"/>
      <c r="P38" s="3"/>
      <c r="Q38" s="3"/>
      <c r="R38" s="3"/>
      <c r="S38" s="3"/>
      <c r="T38" s="2"/>
    </row>
    <row r="39" ht="15.75" customHeight="1">
      <c r="A39" s="4" t="s">
        <v>196</v>
      </c>
      <c r="B39" s="4" t="s">
        <v>4</v>
      </c>
      <c r="C39" s="4" t="s">
        <v>85</v>
      </c>
      <c r="D39" s="4" t="s">
        <v>201</v>
      </c>
      <c r="E39" s="4" t="s">
        <v>203</v>
      </c>
      <c r="F39" s="4" t="s">
        <v>9</v>
      </c>
      <c r="G39" s="4" t="s">
        <v>205</v>
      </c>
      <c r="H39" s="4" t="s">
        <v>90</v>
      </c>
      <c r="I39" s="4" t="s">
        <v>94</v>
      </c>
      <c r="J39" s="4" t="s">
        <v>209</v>
      </c>
      <c r="K39" s="4" t="s">
        <v>211</v>
      </c>
      <c r="L39" s="4" t="s">
        <v>213</v>
      </c>
      <c r="M39" s="4" t="s">
        <v>215</v>
      </c>
      <c r="N39" s="4" t="s">
        <v>216</v>
      </c>
      <c r="O39" s="4" t="s">
        <v>13</v>
      </c>
      <c r="P39" s="4" t="s">
        <v>218</v>
      </c>
      <c r="Q39" s="4" t="s">
        <v>219</v>
      </c>
      <c r="R39" s="4" t="s">
        <v>220</v>
      </c>
      <c r="S39" s="4" t="s">
        <v>222</v>
      </c>
      <c r="T39" s="4" t="s">
        <v>223</v>
      </c>
    </row>
    <row r="40" ht="15.75" customHeight="1">
      <c r="A40" s="5">
        <v>15.0</v>
      </c>
      <c r="B40" s="7" t="s">
        <v>718</v>
      </c>
      <c r="C40" s="5" t="s">
        <v>307</v>
      </c>
      <c r="D40" s="5" t="s">
        <v>719</v>
      </c>
      <c r="E40" s="5" t="s">
        <v>153</v>
      </c>
      <c r="F40" s="5" t="s">
        <v>126</v>
      </c>
      <c r="G40" s="5" t="s">
        <v>480</v>
      </c>
      <c r="H40" s="5" t="s">
        <v>136</v>
      </c>
      <c r="I40" s="5" t="s">
        <v>188</v>
      </c>
      <c r="J40" s="7" t="s">
        <v>720</v>
      </c>
      <c r="K40" s="5" t="s">
        <v>721</v>
      </c>
      <c r="L40" s="5" t="s">
        <v>722</v>
      </c>
      <c r="M40" s="5" t="s">
        <v>724</v>
      </c>
      <c r="N40" s="5" t="s">
        <v>725</v>
      </c>
      <c r="O40" s="5" t="s">
        <v>666</v>
      </c>
      <c r="P40" s="5" t="s">
        <v>726</v>
      </c>
      <c r="Q40" s="5">
        <v>1.0</v>
      </c>
      <c r="R40" s="5" t="s">
        <v>534</v>
      </c>
      <c r="S40" s="5" t="s">
        <v>361</v>
      </c>
      <c r="T40" s="5"/>
    </row>
    <row r="41" ht="15.75" customHeight="1"/>
    <row r="42" ht="19.5" customHeight="1">
      <c r="A42" s="12" t="s">
        <v>727</v>
      </c>
      <c r="B42" s="3"/>
      <c r="C42" s="3"/>
      <c r="D42" s="3"/>
      <c r="E42" s="3"/>
      <c r="F42" s="3"/>
      <c r="G42" s="3"/>
      <c r="H42" s="3"/>
      <c r="I42" s="3"/>
      <c r="J42" s="3"/>
      <c r="K42" s="3"/>
      <c r="L42" s="3"/>
      <c r="M42" s="3"/>
      <c r="N42" s="3"/>
      <c r="O42" s="3"/>
      <c r="P42" s="3"/>
      <c r="Q42" s="3"/>
      <c r="R42" s="3"/>
      <c r="S42" s="3"/>
      <c r="T42" s="2"/>
    </row>
    <row r="43" ht="15.75" customHeight="1">
      <c r="A43" s="4" t="s">
        <v>196</v>
      </c>
      <c r="B43" s="4" t="s">
        <v>4</v>
      </c>
      <c r="C43" s="4" t="s">
        <v>85</v>
      </c>
      <c r="D43" s="4" t="s">
        <v>201</v>
      </c>
      <c r="E43" s="4" t="s">
        <v>203</v>
      </c>
      <c r="F43" s="4" t="s">
        <v>9</v>
      </c>
      <c r="G43" s="4" t="s">
        <v>205</v>
      </c>
      <c r="H43" s="4" t="s">
        <v>90</v>
      </c>
      <c r="I43" s="4" t="s">
        <v>94</v>
      </c>
      <c r="J43" s="4" t="s">
        <v>209</v>
      </c>
      <c r="K43" s="4" t="s">
        <v>211</v>
      </c>
      <c r="L43" s="4" t="s">
        <v>213</v>
      </c>
      <c r="M43" s="4" t="s">
        <v>215</v>
      </c>
      <c r="N43" s="4" t="s">
        <v>216</v>
      </c>
      <c r="O43" s="4" t="s">
        <v>13</v>
      </c>
      <c r="P43" s="4" t="s">
        <v>218</v>
      </c>
      <c r="Q43" s="4" t="s">
        <v>219</v>
      </c>
      <c r="R43" s="4" t="s">
        <v>220</v>
      </c>
      <c r="S43" s="4" t="s">
        <v>222</v>
      </c>
      <c r="T43" s="4" t="s">
        <v>223</v>
      </c>
    </row>
    <row r="44" ht="15.75" customHeight="1">
      <c r="A44" s="5">
        <v>16.0</v>
      </c>
      <c r="B44" s="7" t="s">
        <v>730</v>
      </c>
      <c r="C44" s="5" t="s">
        <v>296</v>
      </c>
      <c r="D44" s="5" t="s">
        <v>731</v>
      </c>
      <c r="E44" s="5" t="s">
        <v>46</v>
      </c>
      <c r="F44" s="5" t="s">
        <v>27</v>
      </c>
      <c r="G44" s="5" t="s">
        <v>394</v>
      </c>
      <c r="H44" s="5" t="s">
        <v>236</v>
      </c>
      <c r="I44" s="5" t="s">
        <v>139</v>
      </c>
      <c r="J44" s="7" t="s">
        <v>732</v>
      </c>
      <c r="K44" s="5" t="s">
        <v>733</v>
      </c>
      <c r="L44" s="5" t="s">
        <v>734</v>
      </c>
      <c r="M44" s="5" t="s">
        <v>735</v>
      </c>
      <c r="N44" s="5" t="s">
        <v>736</v>
      </c>
      <c r="O44" s="5" t="s">
        <v>655</v>
      </c>
      <c r="P44" s="5" t="s">
        <v>737</v>
      </c>
      <c r="Q44" s="5">
        <v>2.0</v>
      </c>
      <c r="R44" s="5" t="s">
        <v>285</v>
      </c>
      <c r="S44" s="5" t="s">
        <v>361</v>
      </c>
      <c r="T44" s="5"/>
    </row>
    <row r="45" ht="15.75" customHeight="1"/>
    <row r="46" ht="19.5" customHeight="1">
      <c r="A46" s="12" t="s">
        <v>738</v>
      </c>
      <c r="B46" s="3"/>
      <c r="C46" s="3"/>
      <c r="D46" s="3"/>
      <c r="E46" s="3"/>
      <c r="F46" s="3"/>
      <c r="G46" s="3"/>
      <c r="H46" s="3"/>
      <c r="I46" s="3"/>
      <c r="J46" s="3"/>
      <c r="K46" s="3"/>
      <c r="L46" s="3"/>
      <c r="M46" s="3"/>
      <c r="N46" s="3"/>
      <c r="O46" s="3"/>
      <c r="P46" s="3"/>
      <c r="Q46" s="3"/>
      <c r="R46" s="3"/>
      <c r="S46" s="3"/>
      <c r="T46" s="2"/>
    </row>
    <row r="47" ht="15.75" customHeight="1">
      <c r="A47" s="4" t="s">
        <v>196</v>
      </c>
      <c r="B47" s="4" t="s">
        <v>4</v>
      </c>
      <c r="C47" s="4" t="s">
        <v>85</v>
      </c>
      <c r="D47" s="4" t="s">
        <v>201</v>
      </c>
      <c r="E47" s="4" t="s">
        <v>203</v>
      </c>
      <c r="F47" s="4" t="s">
        <v>9</v>
      </c>
      <c r="G47" s="4" t="s">
        <v>205</v>
      </c>
      <c r="H47" s="4" t="s">
        <v>90</v>
      </c>
      <c r="I47" s="4" t="s">
        <v>94</v>
      </c>
      <c r="J47" s="4" t="s">
        <v>209</v>
      </c>
      <c r="K47" s="4" t="s">
        <v>211</v>
      </c>
      <c r="L47" s="4" t="s">
        <v>213</v>
      </c>
      <c r="M47" s="4" t="s">
        <v>215</v>
      </c>
      <c r="N47" s="4" t="s">
        <v>216</v>
      </c>
      <c r="O47" s="4" t="s">
        <v>13</v>
      </c>
      <c r="P47" s="4" t="s">
        <v>218</v>
      </c>
      <c r="Q47" s="4" t="s">
        <v>219</v>
      </c>
      <c r="R47" s="4" t="s">
        <v>220</v>
      </c>
      <c r="S47" s="4" t="s">
        <v>222</v>
      </c>
      <c r="T47" s="4" t="s">
        <v>223</v>
      </c>
    </row>
    <row r="48" ht="15.75" customHeight="1">
      <c r="A48" s="5">
        <v>17.0</v>
      </c>
      <c r="B48" s="7" t="s">
        <v>741</v>
      </c>
      <c r="C48" s="5" t="s">
        <v>234</v>
      </c>
      <c r="D48" s="5" t="s">
        <v>742</v>
      </c>
      <c r="E48" s="5" t="s">
        <v>74</v>
      </c>
      <c r="F48" s="5" t="s">
        <v>27</v>
      </c>
      <c r="G48" s="5" t="s">
        <v>477</v>
      </c>
      <c r="H48" s="5" t="s">
        <v>236</v>
      </c>
      <c r="I48" s="5" t="s">
        <v>221</v>
      </c>
      <c r="J48" s="7" t="s">
        <v>743</v>
      </c>
      <c r="K48" s="5" t="s">
        <v>744</v>
      </c>
      <c r="L48" s="5" t="s">
        <v>745</v>
      </c>
      <c r="M48" s="5" t="s">
        <v>747</v>
      </c>
      <c r="N48" s="5" t="s">
        <v>748</v>
      </c>
      <c r="O48" s="5" t="s">
        <v>530</v>
      </c>
      <c r="P48" s="5" t="s">
        <v>749</v>
      </c>
      <c r="Q48" s="5">
        <v>2.0</v>
      </c>
      <c r="R48" s="5" t="s">
        <v>657</v>
      </c>
      <c r="S48" s="5" t="s">
        <v>361</v>
      </c>
      <c r="T48" s="5"/>
    </row>
    <row r="49" ht="15.75" customHeight="1">
      <c r="A49" s="6">
        <v>18.0</v>
      </c>
      <c r="B49" s="9" t="s">
        <v>750</v>
      </c>
      <c r="C49" s="6" t="s">
        <v>234</v>
      </c>
      <c r="D49" s="6" t="s">
        <v>751</v>
      </c>
      <c r="E49" s="6" t="s">
        <v>153</v>
      </c>
      <c r="F49" s="6" t="s">
        <v>126</v>
      </c>
      <c r="G49" s="6" t="s">
        <v>480</v>
      </c>
      <c r="H49" s="6" t="s">
        <v>236</v>
      </c>
      <c r="I49" s="6" t="s">
        <v>188</v>
      </c>
      <c r="J49" s="9" t="s">
        <v>753</v>
      </c>
      <c r="K49" s="6" t="s">
        <v>754</v>
      </c>
      <c r="L49" s="6" t="s">
        <v>755</v>
      </c>
      <c r="M49" s="6" t="s">
        <v>756</v>
      </c>
      <c r="N49" s="6" t="s">
        <v>757</v>
      </c>
      <c r="O49" s="6" t="s">
        <v>530</v>
      </c>
      <c r="P49" s="6" t="s">
        <v>758</v>
      </c>
      <c r="Q49" s="6">
        <v>3.0</v>
      </c>
      <c r="R49" s="6" t="s">
        <v>580</v>
      </c>
      <c r="S49" s="6" t="s">
        <v>361</v>
      </c>
      <c r="T49" s="6"/>
    </row>
    <row r="50" ht="15.75" customHeight="1"/>
    <row r="51" ht="19.5" customHeight="1">
      <c r="A51" s="12" t="s">
        <v>760</v>
      </c>
      <c r="B51" s="3"/>
      <c r="C51" s="3"/>
      <c r="D51" s="3"/>
      <c r="E51" s="3"/>
      <c r="F51" s="3"/>
      <c r="G51" s="3"/>
      <c r="H51" s="3"/>
      <c r="I51" s="3"/>
      <c r="J51" s="3"/>
      <c r="K51" s="3"/>
      <c r="L51" s="3"/>
      <c r="M51" s="3"/>
      <c r="N51" s="3"/>
      <c r="O51" s="3"/>
      <c r="P51" s="3"/>
      <c r="Q51" s="3"/>
      <c r="R51" s="3"/>
      <c r="S51" s="3"/>
      <c r="T51" s="2"/>
    </row>
    <row r="52" ht="15.75" customHeight="1">
      <c r="A52" s="4" t="s">
        <v>196</v>
      </c>
      <c r="B52" s="4" t="s">
        <v>4</v>
      </c>
      <c r="C52" s="4" t="s">
        <v>85</v>
      </c>
      <c r="D52" s="4" t="s">
        <v>201</v>
      </c>
      <c r="E52" s="4" t="s">
        <v>203</v>
      </c>
      <c r="F52" s="4" t="s">
        <v>9</v>
      </c>
      <c r="G52" s="4" t="s">
        <v>205</v>
      </c>
      <c r="H52" s="4" t="s">
        <v>90</v>
      </c>
      <c r="I52" s="4" t="s">
        <v>94</v>
      </c>
      <c r="J52" s="4" t="s">
        <v>209</v>
      </c>
      <c r="K52" s="4" t="s">
        <v>211</v>
      </c>
      <c r="L52" s="4" t="s">
        <v>213</v>
      </c>
      <c r="M52" s="4" t="s">
        <v>215</v>
      </c>
      <c r="N52" s="4" t="s">
        <v>216</v>
      </c>
      <c r="O52" s="4" t="s">
        <v>13</v>
      </c>
      <c r="P52" s="4" t="s">
        <v>218</v>
      </c>
      <c r="Q52" s="4" t="s">
        <v>219</v>
      </c>
      <c r="R52" s="4" t="s">
        <v>220</v>
      </c>
      <c r="S52" s="4" t="s">
        <v>222</v>
      </c>
      <c r="T52" s="4" t="s">
        <v>223</v>
      </c>
    </row>
    <row r="53" ht="15.75" customHeight="1">
      <c r="A53" s="5">
        <v>19.0</v>
      </c>
      <c r="B53" s="7" t="s">
        <v>761</v>
      </c>
      <c r="C53" s="5" t="s">
        <v>318</v>
      </c>
      <c r="D53" s="5" t="s">
        <v>762</v>
      </c>
      <c r="E53" s="5" t="s">
        <v>93</v>
      </c>
      <c r="F53" s="5" t="s">
        <v>27</v>
      </c>
      <c r="G53" s="5" t="s">
        <v>483</v>
      </c>
      <c r="H53" s="5" t="s">
        <v>236</v>
      </c>
      <c r="I53" s="5" t="s">
        <v>221</v>
      </c>
      <c r="J53" s="7" t="s">
        <v>763</v>
      </c>
      <c r="K53" s="5" t="s">
        <v>764</v>
      </c>
      <c r="L53" s="5" t="s">
        <v>765</v>
      </c>
      <c r="M53" s="5" t="s">
        <v>766</v>
      </c>
      <c r="N53" s="5" t="s">
        <v>767</v>
      </c>
      <c r="O53" s="5" t="s">
        <v>655</v>
      </c>
      <c r="P53" s="5" t="s">
        <v>768</v>
      </c>
      <c r="Q53" s="5">
        <v>3.0</v>
      </c>
      <c r="R53" s="5" t="s">
        <v>769</v>
      </c>
      <c r="S53" s="5" t="s">
        <v>361</v>
      </c>
      <c r="T53" s="5"/>
    </row>
    <row r="54" ht="15.75" customHeight="1"/>
    <row r="55" ht="19.5" customHeight="1">
      <c r="A55" s="12" t="s">
        <v>770</v>
      </c>
      <c r="B55" s="3"/>
      <c r="C55" s="3"/>
      <c r="D55" s="3"/>
      <c r="E55" s="3"/>
      <c r="F55" s="3"/>
      <c r="G55" s="3"/>
      <c r="H55" s="3"/>
      <c r="I55" s="3"/>
      <c r="J55" s="3"/>
      <c r="K55" s="3"/>
      <c r="L55" s="3"/>
      <c r="M55" s="3"/>
      <c r="N55" s="3"/>
      <c r="O55" s="3"/>
      <c r="P55" s="3"/>
      <c r="Q55" s="3"/>
      <c r="R55" s="3"/>
      <c r="S55" s="3"/>
      <c r="T55" s="2"/>
    </row>
    <row r="56" ht="15.75" customHeight="1">
      <c r="A56" s="4" t="s">
        <v>196</v>
      </c>
      <c r="B56" s="4" t="s">
        <v>4</v>
      </c>
      <c r="C56" s="4" t="s">
        <v>85</v>
      </c>
      <c r="D56" s="4" t="s">
        <v>201</v>
      </c>
      <c r="E56" s="4" t="s">
        <v>203</v>
      </c>
      <c r="F56" s="4" t="s">
        <v>9</v>
      </c>
      <c r="G56" s="4" t="s">
        <v>205</v>
      </c>
      <c r="H56" s="4" t="s">
        <v>90</v>
      </c>
      <c r="I56" s="4" t="s">
        <v>94</v>
      </c>
      <c r="J56" s="4" t="s">
        <v>209</v>
      </c>
      <c r="K56" s="4" t="s">
        <v>211</v>
      </c>
      <c r="L56" s="4" t="s">
        <v>213</v>
      </c>
      <c r="M56" s="4" t="s">
        <v>215</v>
      </c>
      <c r="N56" s="4" t="s">
        <v>216</v>
      </c>
      <c r="O56" s="4" t="s">
        <v>13</v>
      </c>
      <c r="P56" s="4" t="s">
        <v>218</v>
      </c>
      <c r="Q56" s="4" t="s">
        <v>219</v>
      </c>
      <c r="R56" s="4" t="s">
        <v>220</v>
      </c>
      <c r="S56" s="4" t="s">
        <v>222</v>
      </c>
      <c r="T56" s="4" t="s">
        <v>223</v>
      </c>
    </row>
    <row r="57" ht="15.75" customHeight="1">
      <c r="A57" s="5" t="s">
        <v>771</v>
      </c>
      <c r="B57" s="7" t="s">
        <v>772</v>
      </c>
      <c r="C57" s="5" t="s">
        <v>773</v>
      </c>
      <c r="D57" s="5" t="s">
        <v>774</v>
      </c>
      <c r="E57" s="5" t="s">
        <v>775</v>
      </c>
      <c r="F57" s="5" t="s">
        <v>169</v>
      </c>
      <c r="G57" s="5" t="s">
        <v>480</v>
      </c>
      <c r="H57" s="5" t="s">
        <v>136</v>
      </c>
      <c r="I57" s="5" t="s">
        <v>188</v>
      </c>
      <c r="J57" s="7" t="s">
        <v>776</v>
      </c>
      <c r="K57" s="5" t="s">
        <v>777</v>
      </c>
      <c r="L57" s="5" t="s">
        <v>778</v>
      </c>
      <c r="M57" s="5" t="s">
        <v>779</v>
      </c>
      <c r="N57" s="5" t="s">
        <v>780</v>
      </c>
      <c r="O57" s="5" t="s">
        <v>404</v>
      </c>
      <c r="P57" s="5" t="s">
        <v>781</v>
      </c>
      <c r="Q57" s="5">
        <v>1.0</v>
      </c>
      <c r="R57" s="5" t="s">
        <v>782</v>
      </c>
      <c r="S57" s="5" t="s">
        <v>361</v>
      </c>
      <c r="T57" s="5"/>
    </row>
    <row r="58" ht="15.75" customHeight="1">
      <c r="A58" s="6" t="s">
        <v>783</v>
      </c>
      <c r="B58" s="9" t="s">
        <v>784</v>
      </c>
      <c r="C58" s="6" t="s">
        <v>785</v>
      </c>
      <c r="D58" s="6" t="s">
        <v>786</v>
      </c>
      <c r="E58" s="6" t="s">
        <v>775</v>
      </c>
      <c r="F58" s="6" t="s">
        <v>126</v>
      </c>
      <c r="G58" s="6" t="s">
        <v>477</v>
      </c>
      <c r="H58" s="6" t="s">
        <v>236</v>
      </c>
      <c r="I58" s="6" t="s">
        <v>188</v>
      </c>
      <c r="J58" s="9" t="s">
        <v>787</v>
      </c>
      <c r="K58" s="6" t="s">
        <v>788</v>
      </c>
      <c r="L58" s="6" t="s">
        <v>789</v>
      </c>
      <c r="M58" s="6" t="s">
        <v>790</v>
      </c>
      <c r="N58" s="6" t="s">
        <v>791</v>
      </c>
      <c r="O58" s="6" t="s">
        <v>792</v>
      </c>
      <c r="P58" s="6" t="s">
        <v>793</v>
      </c>
      <c r="Q58" s="6">
        <v>2.0</v>
      </c>
      <c r="R58" s="6" t="s">
        <v>794</v>
      </c>
      <c r="S58" s="6" t="s">
        <v>361</v>
      </c>
      <c r="T58" s="6"/>
    </row>
    <row r="59" ht="15.75" customHeight="1">
      <c r="A59" s="5" t="s">
        <v>795</v>
      </c>
      <c r="B59" s="7" t="s">
        <v>796</v>
      </c>
      <c r="C59" s="5" t="s">
        <v>797</v>
      </c>
      <c r="D59" s="5" t="s">
        <v>798</v>
      </c>
      <c r="E59" s="5" t="s">
        <v>775</v>
      </c>
      <c r="F59" s="5" t="s">
        <v>126</v>
      </c>
      <c r="G59" s="5" t="s">
        <v>477</v>
      </c>
      <c r="H59" s="5" t="s">
        <v>236</v>
      </c>
      <c r="I59" s="5" t="s">
        <v>188</v>
      </c>
      <c r="J59" s="7" t="s">
        <v>799</v>
      </c>
      <c r="K59" s="5" t="s">
        <v>800</v>
      </c>
      <c r="L59" s="5" t="s">
        <v>801</v>
      </c>
      <c r="M59" s="5" t="s">
        <v>802</v>
      </c>
      <c r="N59" s="5" t="s">
        <v>791</v>
      </c>
      <c r="O59" s="5" t="s">
        <v>803</v>
      </c>
      <c r="P59" s="5" t="s">
        <v>804</v>
      </c>
      <c r="Q59" s="5">
        <v>2.0</v>
      </c>
      <c r="R59" s="5" t="s">
        <v>805</v>
      </c>
      <c r="S59" s="5" t="s">
        <v>361</v>
      </c>
      <c r="T59" s="5"/>
    </row>
    <row r="60" ht="15.75" customHeight="1">
      <c r="A60" s="6" t="s">
        <v>806</v>
      </c>
      <c r="B60" s="9" t="s">
        <v>807</v>
      </c>
      <c r="C60" s="6" t="s">
        <v>808</v>
      </c>
      <c r="D60" s="6" t="s">
        <v>809</v>
      </c>
      <c r="E60" s="6" t="s">
        <v>775</v>
      </c>
      <c r="F60" s="6" t="s">
        <v>126</v>
      </c>
      <c r="G60" s="6" t="s">
        <v>480</v>
      </c>
      <c r="H60" s="6" t="s">
        <v>236</v>
      </c>
      <c r="I60" s="6" t="s">
        <v>188</v>
      </c>
      <c r="J60" s="9" t="s">
        <v>810</v>
      </c>
      <c r="K60" s="6" t="s">
        <v>811</v>
      </c>
      <c r="L60" s="6" t="s">
        <v>812</v>
      </c>
      <c r="M60" s="6" t="s">
        <v>813</v>
      </c>
      <c r="N60" s="6" t="s">
        <v>791</v>
      </c>
      <c r="O60" s="6" t="s">
        <v>814</v>
      </c>
      <c r="P60" s="6" t="s">
        <v>815</v>
      </c>
      <c r="Q60" s="6">
        <v>3.0</v>
      </c>
      <c r="R60" s="6" t="s">
        <v>805</v>
      </c>
      <c r="S60" s="6" t="s">
        <v>361</v>
      </c>
      <c r="T60" s="6"/>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5:T25"/>
    <mergeCell ref="A30:T30"/>
    <mergeCell ref="A34:T34"/>
    <mergeCell ref="A38:T38"/>
    <mergeCell ref="A42:T42"/>
    <mergeCell ref="A46:T46"/>
    <mergeCell ref="A51:T51"/>
    <mergeCell ref="A55:T55"/>
    <mergeCell ref="A1:T1"/>
    <mergeCell ref="A2:T2"/>
    <mergeCell ref="A3:T3"/>
    <mergeCell ref="A4:T4"/>
    <mergeCell ref="A6:T6"/>
    <mergeCell ref="A12:T12"/>
    <mergeCell ref="A20:T20"/>
  </mergeCells>
  <conditionalFormatting sqref="S8:S60">
    <cfRule type="cellIs" dxfId="0" priority="1" operator="equal">
      <formula>"A GRABAR"</formula>
    </cfRule>
  </conditionalFormatting>
  <conditionalFormatting sqref="S8:S60">
    <cfRule type="cellIs" dxfId="1" priority="2" operator="equal">
      <formula>"GRABADO"</formula>
    </cfRule>
  </conditionalFormatting>
  <conditionalFormatting sqref="S8:S60">
    <cfRule type="cellIs" dxfId="2" priority="3" operator="equal">
      <formula>"A EDITAR"</formula>
    </cfRule>
  </conditionalFormatting>
  <conditionalFormatting sqref="S8:S60">
    <cfRule type="cellIs" dxfId="3" priority="4" operator="equal">
      <formula>"PUBLICADO"</formula>
    </cfRule>
  </conditionalFormatting>
  <conditionalFormatting sqref="S8:S60">
    <cfRule type="cellIs" dxfId="4" priority="5" operator="equal">
      <formula>"DESCARTADA"</formula>
    </cfRule>
  </conditionalFormatting>
  <conditionalFormatting sqref="F8:F60">
    <cfRule type="cellIs" dxfId="5" priority="6" operator="equal">
      <formula>"Interrupción"</formula>
    </cfRule>
  </conditionalFormatting>
  <conditionalFormatting sqref="F8:F60">
    <cfRule type="cellIs" dxfId="6" priority="7" operator="equal">
      <formula>"Pregunta directa"</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0"/>
    <col customWidth="1" min="2" max="2" width="13.0"/>
    <col customWidth="1" min="3" max="3" width="32.0"/>
    <col customWidth="1" min="4" max="4" width="40.0"/>
    <col customWidth="1" min="5" max="5" width="10.0"/>
    <col customWidth="1" min="6" max="6" width="30.0"/>
    <col customWidth="1" min="7" max="7" width="28.0"/>
    <col customWidth="1" min="8" max="8" width="36.0"/>
    <col customWidth="1" min="9" max="9" width="26.0"/>
    <col customWidth="1" min="10" max="10" width="60.0"/>
    <col customWidth="1" min="11" max="26" width="8.71"/>
  </cols>
  <sheetData>
    <row r="1" ht="30.0" customHeight="1">
      <c r="A1" s="1" t="s">
        <v>1</v>
      </c>
      <c r="B1" s="3"/>
      <c r="C1" s="3"/>
      <c r="D1" s="3"/>
      <c r="E1" s="3"/>
      <c r="F1" s="3"/>
      <c r="G1" s="3"/>
      <c r="H1" s="3"/>
      <c r="I1" s="3"/>
      <c r="J1" s="2"/>
    </row>
    <row r="2">
      <c r="A2" s="4" t="s">
        <v>7</v>
      </c>
      <c r="B2" s="4" t="s">
        <v>9</v>
      </c>
      <c r="C2" s="4" t="s">
        <v>10</v>
      </c>
      <c r="D2" s="4" t="s">
        <v>12</v>
      </c>
      <c r="E2" s="4" t="s">
        <v>13</v>
      </c>
      <c r="F2" s="4" t="s">
        <v>14</v>
      </c>
      <c r="G2" s="4" t="s">
        <v>15</v>
      </c>
      <c r="H2" s="4" t="s">
        <v>16</v>
      </c>
      <c r="I2" s="4" t="s">
        <v>17</v>
      </c>
      <c r="J2" s="4" t="s">
        <v>19</v>
      </c>
    </row>
    <row r="3">
      <c r="A3" s="7" t="s">
        <v>21</v>
      </c>
      <c r="B3" s="5" t="s">
        <v>27</v>
      </c>
      <c r="C3" s="5" t="s">
        <v>29</v>
      </c>
      <c r="D3" s="5" t="s">
        <v>31</v>
      </c>
      <c r="E3" s="5" t="s">
        <v>33</v>
      </c>
      <c r="F3" s="5" t="s">
        <v>34</v>
      </c>
      <c r="G3" s="5" t="s">
        <v>36</v>
      </c>
      <c r="H3" s="5" t="s">
        <v>38</v>
      </c>
      <c r="I3" s="5" t="s">
        <v>39</v>
      </c>
      <c r="J3" s="5" t="s">
        <v>42</v>
      </c>
    </row>
    <row r="4">
      <c r="A4" s="9" t="s">
        <v>46</v>
      </c>
      <c r="B4" s="6" t="s">
        <v>27</v>
      </c>
      <c r="C4" s="6" t="s">
        <v>56</v>
      </c>
      <c r="D4" s="6" t="s">
        <v>58</v>
      </c>
      <c r="E4" s="6" t="s">
        <v>60</v>
      </c>
      <c r="F4" s="6" t="s">
        <v>62</v>
      </c>
      <c r="G4" s="6" t="s">
        <v>64</v>
      </c>
      <c r="H4" s="6" t="s">
        <v>68</v>
      </c>
      <c r="I4" s="6" t="s">
        <v>70</v>
      </c>
      <c r="J4" s="6" t="s">
        <v>72</v>
      </c>
    </row>
    <row r="5">
      <c r="A5" s="7" t="s">
        <v>74</v>
      </c>
      <c r="B5" s="5" t="s">
        <v>27</v>
      </c>
      <c r="C5" s="5" t="s">
        <v>77</v>
      </c>
      <c r="D5" s="5" t="s">
        <v>79</v>
      </c>
      <c r="E5" s="5" t="s">
        <v>81</v>
      </c>
      <c r="F5" s="5" t="s">
        <v>82</v>
      </c>
      <c r="G5" s="5" t="s">
        <v>83</v>
      </c>
      <c r="H5" s="5" t="s">
        <v>86</v>
      </c>
      <c r="I5" s="5" t="s">
        <v>88</v>
      </c>
      <c r="J5" s="5" t="s">
        <v>92</v>
      </c>
    </row>
    <row r="6">
      <c r="A6" s="9" t="s">
        <v>93</v>
      </c>
      <c r="B6" s="6" t="s">
        <v>27</v>
      </c>
      <c r="C6" s="6" t="s">
        <v>96</v>
      </c>
      <c r="D6" s="6" t="s">
        <v>99</v>
      </c>
      <c r="E6" s="6" t="s">
        <v>101</v>
      </c>
      <c r="F6" s="6" t="s">
        <v>105</v>
      </c>
      <c r="G6" s="6" t="s">
        <v>107</v>
      </c>
      <c r="H6" s="6" t="s">
        <v>109</v>
      </c>
      <c r="I6" s="6" t="s">
        <v>110</v>
      </c>
      <c r="J6" s="6" t="s">
        <v>111</v>
      </c>
    </row>
    <row r="7">
      <c r="A7" s="7" t="s">
        <v>112</v>
      </c>
      <c r="B7" s="5" t="s">
        <v>27</v>
      </c>
      <c r="C7" s="5" t="s">
        <v>114</v>
      </c>
      <c r="D7" s="5" t="s">
        <v>115</v>
      </c>
      <c r="E7" s="5" t="s">
        <v>116</v>
      </c>
      <c r="F7" s="5" t="s">
        <v>117</v>
      </c>
      <c r="G7" s="5" t="s">
        <v>119</v>
      </c>
      <c r="H7" s="5" t="s">
        <v>120</v>
      </c>
      <c r="I7" s="5" t="s">
        <v>122</v>
      </c>
      <c r="J7" s="5" t="s">
        <v>123</v>
      </c>
    </row>
    <row r="8">
      <c r="A8" s="9" t="s">
        <v>125</v>
      </c>
      <c r="B8" s="6" t="s">
        <v>126</v>
      </c>
      <c r="C8" s="6" t="s">
        <v>127</v>
      </c>
      <c r="D8" s="6" t="s">
        <v>129</v>
      </c>
      <c r="E8" s="6" t="s">
        <v>130</v>
      </c>
      <c r="F8" s="6" t="s">
        <v>132</v>
      </c>
      <c r="G8" s="6" t="s">
        <v>133</v>
      </c>
      <c r="H8" s="6" t="s">
        <v>134</v>
      </c>
      <c r="I8" s="6" t="s">
        <v>135</v>
      </c>
      <c r="J8" s="6" t="s">
        <v>137</v>
      </c>
    </row>
    <row r="9">
      <c r="A9" s="7" t="s">
        <v>138</v>
      </c>
      <c r="B9" s="5" t="s">
        <v>126</v>
      </c>
      <c r="C9" s="5" t="s">
        <v>140</v>
      </c>
      <c r="D9" s="5" t="s">
        <v>142</v>
      </c>
      <c r="E9" s="5" t="s">
        <v>143</v>
      </c>
      <c r="F9" s="5" t="s">
        <v>146</v>
      </c>
      <c r="G9" s="5" t="s">
        <v>147</v>
      </c>
      <c r="H9" s="5" t="s">
        <v>148</v>
      </c>
      <c r="I9" s="5" t="s">
        <v>149</v>
      </c>
      <c r="J9" s="5" t="s">
        <v>151</v>
      </c>
    </row>
    <row r="10">
      <c r="A10" s="9" t="s">
        <v>153</v>
      </c>
      <c r="B10" s="6" t="s">
        <v>126</v>
      </c>
      <c r="C10" s="6" t="s">
        <v>155</v>
      </c>
      <c r="D10" s="6" t="s">
        <v>157</v>
      </c>
      <c r="E10" s="6" t="s">
        <v>158</v>
      </c>
      <c r="F10" s="6" t="s">
        <v>160</v>
      </c>
      <c r="G10" s="6" t="s">
        <v>161</v>
      </c>
      <c r="H10" s="6" t="s">
        <v>164</v>
      </c>
      <c r="I10" s="6" t="s">
        <v>166</v>
      </c>
      <c r="J10" s="6" t="s">
        <v>167</v>
      </c>
    </row>
    <row r="11">
      <c r="A11" s="7" t="s">
        <v>168</v>
      </c>
      <c r="B11" s="5" t="s">
        <v>169</v>
      </c>
      <c r="C11" s="5" t="s">
        <v>170</v>
      </c>
      <c r="D11" s="5" t="s">
        <v>171</v>
      </c>
      <c r="E11" s="5" t="s">
        <v>172</v>
      </c>
      <c r="F11" s="5" t="s">
        <v>173</v>
      </c>
      <c r="G11" s="5" t="s">
        <v>175</v>
      </c>
      <c r="H11" s="5" t="s">
        <v>177</v>
      </c>
      <c r="I11" s="5" t="s">
        <v>178</v>
      </c>
      <c r="J11" s="5" t="s">
        <v>181</v>
      </c>
    </row>
    <row r="12">
      <c r="A12" s="9" t="s">
        <v>183</v>
      </c>
      <c r="B12" s="6" t="s">
        <v>169</v>
      </c>
      <c r="C12" s="6" t="s">
        <v>185</v>
      </c>
      <c r="D12" s="6" t="s">
        <v>187</v>
      </c>
      <c r="E12" s="6" t="s">
        <v>189</v>
      </c>
      <c r="F12" s="6" t="s">
        <v>191</v>
      </c>
      <c r="G12" s="6" t="s">
        <v>193</v>
      </c>
      <c r="H12" s="6" t="s">
        <v>197</v>
      </c>
      <c r="I12" s="6" t="s">
        <v>199</v>
      </c>
      <c r="J12" s="6" t="s">
        <v>202</v>
      </c>
    </row>
    <row r="14">
      <c r="A14" s="12" t="s">
        <v>208</v>
      </c>
      <c r="B14" s="3"/>
      <c r="C14" s="3"/>
      <c r="D14" s="3"/>
      <c r="E14" s="3"/>
      <c r="F14" s="3"/>
      <c r="G14" s="3"/>
      <c r="H14" s="3"/>
      <c r="I14" s="3"/>
      <c r="J14" s="2"/>
    </row>
    <row r="15">
      <c r="A15" s="4" t="s">
        <v>226</v>
      </c>
      <c r="B15" s="4" t="s">
        <v>228</v>
      </c>
      <c r="C15" s="4" t="s">
        <v>230</v>
      </c>
      <c r="D15" s="4" t="s">
        <v>232</v>
      </c>
      <c r="E15" s="4" t="s">
        <v>235</v>
      </c>
      <c r="F15" s="4" t="s">
        <v>237</v>
      </c>
    </row>
    <row r="16">
      <c r="A16" s="5" t="s">
        <v>238</v>
      </c>
      <c r="B16" s="5" t="s">
        <v>240</v>
      </c>
      <c r="C16" s="5" t="s">
        <v>242</v>
      </c>
      <c r="D16" s="5">
        <v>2365653.0</v>
      </c>
      <c r="E16" s="5">
        <v>10.8</v>
      </c>
      <c r="F16" s="5" t="s">
        <v>247</v>
      </c>
    </row>
    <row r="17">
      <c r="A17" s="6" t="s">
        <v>248</v>
      </c>
      <c r="B17" s="6" t="s">
        <v>250</v>
      </c>
      <c r="C17" s="6" t="s">
        <v>251</v>
      </c>
      <c r="D17" s="6">
        <v>1653997.0</v>
      </c>
      <c r="E17" s="6">
        <v>7.55</v>
      </c>
      <c r="F17" s="6" t="s">
        <v>254</v>
      </c>
    </row>
    <row r="18">
      <c r="A18" s="5" t="s">
        <v>257</v>
      </c>
      <c r="B18" s="5" t="s">
        <v>260</v>
      </c>
      <c r="C18" s="5" t="s">
        <v>262</v>
      </c>
      <c r="D18" s="5">
        <v>209824.0</v>
      </c>
      <c r="E18" s="5">
        <v>0.96</v>
      </c>
      <c r="F18" s="5" t="s">
        <v>266</v>
      </c>
    </row>
    <row r="19">
      <c r="A19" s="6" t="s">
        <v>270</v>
      </c>
      <c r="B19" s="6" t="s">
        <v>272</v>
      </c>
      <c r="C19" s="6" t="s">
        <v>273</v>
      </c>
      <c r="D19" s="6">
        <v>401692.0</v>
      </c>
      <c r="E19" s="6">
        <v>1.83</v>
      </c>
      <c r="F19" s="6" t="s">
        <v>276</v>
      </c>
    </row>
    <row r="20">
      <c r="A20" s="5" t="s">
        <v>279</v>
      </c>
      <c r="B20" s="5" t="s">
        <v>281</v>
      </c>
      <c r="C20" s="5" t="s">
        <v>284</v>
      </c>
      <c r="D20" s="5">
        <v>397837.0</v>
      </c>
      <c r="E20" s="5">
        <v>1.82</v>
      </c>
      <c r="F20" s="5" t="s">
        <v>285</v>
      </c>
    </row>
    <row r="21" ht="15.75" customHeight="1">
      <c r="A21" s="6" t="s">
        <v>286</v>
      </c>
      <c r="B21" s="6" t="s">
        <v>287</v>
      </c>
      <c r="C21" s="6" t="s">
        <v>290</v>
      </c>
      <c r="D21" s="6">
        <v>433200.0</v>
      </c>
      <c r="E21" s="6">
        <v>1.98</v>
      </c>
      <c r="F21" s="6" t="s">
        <v>294</v>
      </c>
    </row>
    <row r="22" ht="15.75" customHeight="1">
      <c r="A22" s="5" t="s">
        <v>297</v>
      </c>
      <c r="B22" s="5" t="s">
        <v>298</v>
      </c>
      <c r="C22" s="5" t="s">
        <v>301</v>
      </c>
      <c r="D22" s="5">
        <v>108546.0</v>
      </c>
      <c r="E22" s="5">
        <v>0.5</v>
      </c>
      <c r="F22" s="5" t="s">
        <v>306</v>
      </c>
    </row>
    <row r="23" ht="15.75" customHeight="1">
      <c r="A23" s="6" t="s">
        <v>308</v>
      </c>
      <c r="B23" s="6" t="s">
        <v>311</v>
      </c>
      <c r="C23" s="6" t="s">
        <v>314</v>
      </c>
      <c r="D23" s="6">
        <v>124101.0</v>
      </c>
      <c r="E23" s="6">
        <v>0.57</v>
      </c>
      <c r="F23" s="6" t="s">
        <v>319</v>
      </c>
    </row>
    <row r="24" ht="15.75" customHeight="1">
      <c r="A24" s="5" t="s">
        <v>322</v>
      </c>
      <c r="B24" s="5" t="s">
        <v>324</v>
      </c>
      <c r="C24" s="5" t="s">
        <v>329</v>
      </c>
      <c r="D24" s="5">
        <v>167344.0</v>
      </c>
      <c r="E24" s="5">
        <v>1.24</v>
      </c>
      <c r="F24" s="5" t="s">
        <v>333</v>
      </c>
    </row>
    <row r="25" ht="15.75" customHeight="1"/>
    <row r="26" ht="15.75" customHeight="1">
      <c r="A26" s="12" t="s">
        <v>337</v>
      </c>
      <c r="B26" s="3"/>
      <c r="C26" s="3"/>
      <c r="D26" s="3"/>
      <c r="E26" s="3"/>
      <c r="F26" s="3"/>
      <c r="G26" s="3"/>
      <c r="H26" s="3"/>
      <c r="I26" s="3"/>
      <c r="J26" s="2"/>
    </row>
    <row r="27" ht="15.75" customHeight="1">
      <c r="A27" s="4" t="s">
        <v>226</v>
      </c>
      <c r="B27" s="4" t="s">
        <v>228</v>
      </c>
      <c r="C27" s="4" t="s">
        <v>230</v>
      </c>
      <c r="D27" s="4" t="s">
        <v>232</v>
      </c>
      <c r="E27" s="4" t="s">
        <v>235</v>
      </c>
      <c r="F27" s="4" t="s">
        <v>237</v>
      </c>
    </row>
    <row r="28" ht="15.75" customHeight="1">
      <c r="A28" s="5" t="s">
        <v>352</v>
      </c>
      <c r="B28" s="5" t="s">
        <v>354</v>
      </c>
      <c r="C28" s="5" t="s">
        <v>357</v>
      </c>
      <c r="D28" s="5">
        <v>138085.0</v>
      </c>
      <c r="E28" s="5">
        <v>6.72</v>
      </c>
      <c r="F28" s="5" t="s">
        <v>362</v>
      </c>
    </row>
    <row r="29" ht="15.75" customHeight="1">
      <c r="A29" s="6" t="s">
        <v>367</v>
      </c>
      <c r="B29" s="6" t="s">
        <v>370</v>
      </c>
      <c r="C29" s="6" t="s">
        <v>372</v>
      </c>
      <c r="D29" s="6">
        <v>20563.0</v>
      </c>
      <c r="E29" s="6">
        <v>1.0</v>
      </c>
      <c r="F29" s="6" t="s">
        <v>377</v>
      </c>
    </row>
    <row r="30" ht="15.75" customHeight="1">
      <c r="A30" s="5" t="s">
        <v>381</v>
      </c>
      <c r="B30" s="5" t="s">
        <v>384</v>
      </c>
      <c r="C30" s="5" t="s">
        <v>385</v>
      </c>
      <c r="D30" s="5">
        <v>25172.0</v>
      </c>
      <c r="E30" s="5">
        <v>1.22</v>
      </c>
      <c r="F30" s="5" t="s">
        <v>386</v>
      </c>
    </row>
    <row r="31" ht="15.75" customHeight="1">
      <c r="A31" s="6" t="s">
        <v>388</v>
      </c>
      <c r="B31" s="6" t="s">
        <v>390</v>
      </c>
      <c r="C31" s="6" t="s">
        <v>391</v>
      </c>
      <c r="D31" s="6">
        <v>24803.0</v>
      </c>
      <c r="E31" s="6">
        <v>1.21</v>
      </c>
      <c r="F31" s="6" t="s">
        <v>393</v>
      </c>
    </row>
    <row r="32" ht="15.75" customHeight="1">
      <c r="A32" s="5" t="s">
        <v>395</v>
      </c>
      <c r="B32" s="5" t="s">
        <v>397</v>
      </c>
      <c r="C32" s="5" t="s">
        <v>399</v>
      </c>
      <c r="D32" s="5">
        <v>19416.0</v>
      </c>
      <c r="E32" s="5">
        <v>0.94</v>
      </c>
      <c r="F32" s="5" t="s">
        <v>402</v>
      </c>
    </row>
    <row r="33" ht="15.75" customHeight="1">
      <c r="A33" s="6" t="s">
        <v>405</v>
      </c>
      <c r="B33" s="6" t="s">
        <v>406</v>
      </c>
      <c r="C33" s="6" t="s">
        <v>409</v>
      </c>
      <c r="D33" s="6">
        <v>23469.0</v>
      </c>
      <c r="E33" s="6">
        <v>2.06</v>
      </c>
      <c r="F33" s="6" t="s">
        <v>410</v>
      </c>
    </row>
    <row r="34" ht="15.75" customHeight="1">
      <c r="A34" s="5" t="s">
        <v>411</v>
      </c>
      <c r="B34" s="5" t="s">
        <v>412</v>
      </c>
      <c r="C34" s="5" t="s">
        <v>413</v>
      </c>
      <c r="D34" s="5">
        <v>8004.0</v>
      </c>
      <c r="E34" s="5">
        <v>0.7</v>
      </c>
      <c r="F34" s="5" t="s">
        <v>414</v>
      </c>
    </row>
    <row r="35" ht="15.75" customHeight="1">
      <c r="A35" s="6" t="s">
        <v>415</v>
      </c>
      <c r="B35" s="6" t="s">
        <v>416</v>
      </c>
      <c r="C35" s="6" t="s">
        <v>417</v>
      </c>
      <c r="D35" s="6">
        <v>7261.0</v>
      </c>
      <c r="E35" s="6">
        <v>0.64</v>
      </c>
      <c r="F35" s="6" t="s">
        <v>419</v>
      </c>
    </row>
    <row r="36" ht="15.75" customHeight="1">
      <c r="A36" s="5" t="s">
        <v>421</v>
      </c>
      <c r="B36" s="5" t="s">
        <v>422</v>
      </c>
      <c r="C36" s="5" t="s">
        <v>423</v>
      </c>
      <c r="D36" s="5">
        <v>21455.0</v>
      </c>
      <c r="E36" s="5">
        <v>1.88</v>
      </c>
      <c r="F36" s="5" t="s">
        <v>424</v>
      </c>
    </row>
    <row r="37" ht="15.75" customHeight="1">
      <c r="A37" s="6" t="s">
        <v>426</v>
      </c>
      <c r="B37" s="6" t="s">
        <v>428</v>
      </c>
      <c r="C37" s="6" t="s">
        <v>430</v>
      </c>
      <c r="D37" s="6">
        <v>17001.0</v>
      </c>
      <c r="E37" s="6">
        <v>1.49</v>
      </c>
      <c r="F37" s="6" t="s">
        <v>434</v>
      </c>
    </row>
    <row r="38" ht="15.75" customHeight="1">
      <c r="A38" s="5" t="s">
        <v>426</v>
      </c>
      <c r="B38" s="5" t="s">
        <v>437</v>
      </c>
      <c r="C38" s="5" t="s">
        <v>438</v>
      </c>
      <c r="D38" s="5">
        <v>11724.0</v>
      </c>
      <c r="E38" s="5">
        <v>1.03</v>
      </c>
      <c r="F38" s="5" t="s">
        <v>439</v>
      </c>
    </row>
    <row r="39" ht="15.75" customHeight="1">
      <c r="A39" s="6" t="s">
        <v>440</v>
      </c>
      <c r="B39" s="6" t="s">
        <v>441</v>
      </c>
      <c r="C39" s="6" t="s">
        <v>442</v>
      </c>
      <c r="D39" s="6">
        <v>18867.0</v>
      </c>
      <c r="E39" s="6">
        <v>1.65</v>
      </c>
      <c r="F39" s="6" t="s">
        <v>443</v>
      </c>
    </row>
    <row r="40" ht="15.75" customHeight="1">
      <c r="A40" s="5" t="s">
        <v>444</v>
      </c>
      <c r="B40" s="5" t="s">
        <v>445</v>
      </c>
      <c r="C40" s="5" t="s">
        <v>446</v>
      </c>
      <c r="D40" s="5">
        <v>20061.0</v>
      </c>
      <c r="E40" s="5">
        <v>1.76</v>
      </c>
      <c r="F40" s="5" t="s">
        <v>447</v>
      </c>
    </row>
    <row r="41" ht="15.75" customHeight="1">
      <c r="A41" s="6" t="s">
        <v>448</v>
      </c>
      <c r="B41" s="6" t="s">
        <v>449</v>
      </c>
      <c r="C41" s="6" t="s">
        <v>450</v>
      </c>
      <c r="D41" s="6">
        <v>19454.0</v>
      </c>
      <c r="E41" s="6">
        <v>1.7</v>
      </c>
      <c r="F41" s="6" t="s">
        <v>452</v>
      </c>
    </row>
    <row r="42" ht="15.75" customHeight="1">
      <c r="A42" s="5" t="s">
        <v>453</v>
      </c>
      <c r="B42" s="5" t="s">
        <v>454</v>
      </c>
      <c r="C42" s="5" t="s">
        <v>455</v>
      </c>
      <c r="D42" s="5">
        <v>18662.0</v>
      </c>
      <c r="E42" s="5">
        <v>1.64</v>
      </c>
      <c r="F42" s="5" t="s">
        <v>456</v>
      </c>
    </row>
    <row r="43" ht="15.75" customHeight="1">
      <c r="A43" s="6" t="s">
        <v>453</v>
      </c>
      <c r="B43" s="6" t="s">
        <v>457</v>
      </c>
      <c r="C43" s="6" t="s">
        <v>459</v>
      </c>
      <c r="D43" s="6">
        <v>15707.0</v>
      </c>
      <c r="E43" s="6">
        <v>1.38</v>
      </c>
      <c r="F43" s="6" t="s">
        <v>460</v>
      </c>
    </row>
    <row r="44" ht="15.75" customHeight="1">
      <c r="A44" s="5" t="s">
        <v>461</v>
      </c>
      <c r="B44" s="5" t="s">
        <v>462</v>
      </c>
      <c r="C44" s="5" t="s">
        <v>463</v>
      </c>
      <c r="D44" s="5">
        <v>21172.0</v>
      </c>
      <c r="E44" s="5">
        <v>1.86</v>
      </c>
      <c r="F44" s="5" t="s">
        <v>464</v>
      </c>
    </row>
    <row r="45" ht="15.75" customHeight="1">
      <c r="A45" s="6" t="s">
        <v>461</v>
      </c>
      <c r="B45" s="6" t="s">
        <v>465</v>
      </c>
      <c r="C45" s="6" t="s">
        <v>466</v>
      </c>
      <c r="D45" s="6">
        <v>16793.0</v>
      </c>
      <c r="E45" s="6">
        <v>1.47</v>
      </c>
      <c r="F45" s="6" t="s">
        <v>467</v>
      </c>
    </row>
    <row r="46" ht="15.75" customHeight="1">
      <c r="A46" s="5" t="s">
        <v>468</v>
      </c>
      <c r="B46" s="5" t="s">
        <v>469</v>
      </c>
      <c r="C46" s="5" t="s">
        <v>470</v>
      </c>
      <c r="D46" s="5">
        <v>11521.0</v>
      </c>
      <c r="E46" s="5">
        <v>1.01</v>
      </c>
      <c r="F46" s="5" t="s">
        <v>471</v>
      </c>
    </row>
    <row r="47" ht="15.75" customHeight="1">
      <c r="A47" s="6" t="s">
        <v>472</v>
      </c>
      <c r="B47" s="6" t="s">
        <v>473</v>
      </c>
      <c r="C47" s="6" t="s">
        <v>474</v>
      </c>
      <c r="D47" s="6">
        <v>18224.0</v>
      </c>
      <c r="E47" s="6">
        <v>1.6</v>
      </c>
      <c r="F47" s="6" t="s">
        <v>476</v>
      </c>
    </row>
    <row r="48" ht="15.75" customHeight="1">
      <c r="A48" s="5" t="s">
        <v>472</v>
      </c>
      <c r="B48" s="5" t="s">
        <v>479</v>
      </c>
      <c r="C48" s="5" t="s">
        <v>481</v>
      </c>
      <c r="D48" s="5">
        <v>17471.0</v>
      </c>
      <c r="E48" s="5">
        <v>1.53</v>
      </c>
      <c r="F48" s="5" t="s">
        <v>487</v>
      </c>
    </row>
    <row r="49" ht="15.75" customHeight="1">
      <c r="A49" s="6" t="s">
        <v>489</v>
      </c>
      <c r="B49" s="6" t="s">
        <v>492</v>
      </c>
      <c r="C49" s="6" t="s">
        <v>494</v>
      </c>
      <c r="D49" s="6">
        <v>25477.0</v>
      </c>
      <c r="E49" s="6">
        <v>2.23</v>
      </c>
      <c r="F49" s="6" t="s">
        <v>497</v>
      </c>
    </row>
    <row r="50" ht="15.75" customHeight="1">
      <c r="A50" s="5" t="s">
        <v>499</v>
      </c>
      <c r="B50" s="5" t="s">
        <v>500</v>
      </c>
      <c r="C50" s="5" t="s">
        <v>501</v>
      </c>
      <c r="D50" s="5">
        <v>18132.0</v>
      </c>
      <c r="E50" s="5">
        <v>1.59</v>
      </c>
      <c r="F50" s="5" t="s">
        <v>502</v>
      </c>
    </row>
    <row r="51" ht="15.75" customHeight="1">
      <c r="A51" s="6" t="s">
        <v>503</v>
      </c>
      <c r="B51" s="6" t="s">
        <v>504</v>
      </c>
      <c r="C51" s="6" t="s">
        <v>505</v>
      </c>
      <c r="D51" s="6">
        <v>26074.0</v>
      </c>
      <c r="E51" s="6">
        <v>2.28</v>
      </c>
      <c r="F51" s="6" t="s">
        <v>506</v>
      </c>
    </row>
    <row r="52" ht="15.75" customHeight="1">
      <c r="A52" s="5" t="s">
        <v>507</v>
      </c>
      <c r="B52" s="5" t="s">
        <v>508</v>
      </c>
      <c r="C52" s="5" t="s">
        <v>509</v>
      </c>
      <c r="D52" s="5">
        <v>8964.0</v>
      </c>
      <c r="E52" s="5">
        <v>1.19</v>
      </c>
      <c r="F52" s="5" t="s">
        <v>510</v>
      </c>
    </row>
    <row r="53" ht="15.75" customHeight="1">
      <c r="A53" s="6" t="s">
        <v>511</v>
      </c>
      <c r="B53" s="6" t="s">
        <v>512</v>
      </c>
      <c r="C53" s="6" t="s">
        <v>513</v>
      </c>
      <c r="D53" s="6">
        <v>24194.0</v>
      </c>
      <c r="E53" s="6">
        <v>3.23</v>
      </c>
      <c r="F53" s="6" t="s">
        <v>514</v>
      </c>
    </row>
    <row r="54" ht="15.75" customHeight="1">
      <c r="A54" s="5" t="s">
        <v>515</v>
      </c>
      <c r="B54" s="5" t="s">
        <v>516</v>
      </c>
      <c r="C54" s="5" t="s">
        <v>517</v>
      </c>
      <c r="D54" s="5">
        <v>12870.0</v>
      </c>
      <c r="E54" s="5">
        <v>1.72</v>
      </c>
      <c r="F54" s="5" t="s">
        <v>519</v>
      </c>
    </row>
    <row r="55" ht="15.75" customHeight="1">
      <c r="A55" s="6" t="s">
        <v>521</v>
      </c>
      <c r="B55" s="6" t="s">
        <v>522</v>
      </c>
      <c r="C55" s="6" t="s">
        <v>523</v>
      </c>
      <c r="D55" s="6">
        <v>23884.0</v>
      </c>
      <c r="E55" s="6">
        <v>3.18</v>
      </c>
      <c r="F55" s="6" t="s">
        <v>527</v>
      </c>
    </row>
    <row r="56" ht="15.75" customHeight="1">
      <c r="A56" s="5" t="s">
        <v>521</v>
      </c>
      <c r="B56" s="5" t="s">
        <v>531</v>
      </c>
      <c r="C56" s="5" t="s">
        <v>532</v>
      </c>
      <c r="D56" s="5">
        <v>13627.0</v>
      </c>
      <c r="E56" s="5">
        <v>1.82</v>
      </c>
      <c r="F56" s="5" t="s">
        <v>535</v>
      </c>
    </row>
    <row r="57" ht="15.75" customHeight="1">
      <c r="A57" s="6" t="s">
        <v>521</v>
      </c>
      <c r="B57" s="6" t="s">
        <v>536</v>
      </c>
      <c r="C57" s="6" t="s">
        <v>537</v>
      </c>
      <c r="D57" s="6">
        <v>10343.0</v>
      </c>
      <c r="E57" s="6">
        <v>1.38</v>
      </c>
      <c r="F57" s="6" t="s">
        <v>538</v>
      </c>
    </row>
    <row r="58" ht="15.75" customHeight="1">
      <c r="A58" s="5" t="s">
        <v>539</v>
      </c>
      <c r="B58" s="5" t="s">
        <v>540</v>
      </c>
      <c r="C58" s="5" t="s">
        <v>541</v>
      </c>
      <c r="D58" s="5">
        <v>51992.0</v>
      </c>
      <c r="E58" s="5">
        <v>6.93</v>
      </c>
      <c r="F58" s="5" t="s">
        <v>543</v>
      </c>
    </row>
    <row r="59" ht="15.75" customHeight="1">
      <c r="A59" s="6" t="s">
        <v>545</v>
      </c>
      <c r="B59" s="6" t="s">
        <v>546</v>
      </c>
      <c r="C59" s="6" t="s">
        <v>548</v>
      </c>
      <c r="D59" s="6">
        <v>9440.0</v>
      </c>
      <c r="E59" s="6">
        <v>1.26</v>
      </c>
      <c r="F59" s="6" t="s">
        <v>554</v>
      </c>
    </row>
    <row r="60" ht="15.75" customHeight="1">
      <c r="A60" s="5" t="s">
        <v>555</v>
      </c>
      <c r="B60" s="5" t="s">
        <v>556</v>
      </c>
      <c r="C60" s="5" t="s">
        <v>557</v>
      </c>
      <c r="D60" s="5">
        <v>8810.0</v>
      </c>
      <c r="E60" s="5">
        <v>1.17</v>
      </c>
      <c r="F60" s="5" t="s">
        <v>558</v>
      </c>
    </row>
    <row r="61" ht="15.75" customHeight="1">
      <c r="A61" s="6" t="s">
        <v>559</v>
      </c>
      <c r="B61" s="6" t="s">
        <v>561</v>
      </c>
      <c r="C61" s="6" t="s">
        <v>563</v>
      </c>
      <c r="D61" s="6">
        <v>7610.0</v>
      </c>
      <c r="E61" s="6">
        <v>1.01</v>
      </c>
      <c r="F61" s="6" t="s">
        <v>564</v>
      </c>
    </row>
    <row r="62" ht="15.75" customHeight="1">
      <c r="A62" s="5" t="s">
        <v>565</v>
      </c>
      <c r="B62" s="5" t="s">
        <v>566</v>
      </c>
      <c r="C62" s="5" t="s">
        <v>568</v>
      </c>
      <c r="D62" s="5">
        <v>9634.0</v>
      </c>
      <c r="E62" s="5">
        <v>1.28</v>
      </c>
      <c r="F62" s="5" t="s">
        <v>571</v>
      </c>
    </row>
    <row r="63" ht="15.75" customHeight="1">
      <c r="A63" s="6" t="s">
        <v>572</v>
      </c>
      <c r="B63" s="6" t="s">
        <v>574</v>
      </c>
      <c r="C63" s="6" t="s">
        <v>576</v>
      </c>
      <c r="D63" s="6">
        <v>33475.0</v>
      </c>
      <c r="E63" s="6">
        <v>4.46</v>
      </c>
      <c r="F63" s="6" t="s">
        <v>577</v>
      </c>
    </row>
    <row r="64" ht="15.75" customHeight="1">
      <c r="A64" s="5" t="s">
        <v>579</v>
      </c>
      <c r="B64" s="5" t="s">
        <v>581</v>
      </c>
      <c r="C64" s="5" t="s">
        <v>582</v>
      </c>
      <c r="D64" s="5">
        <v>8350.0</v>
      </c>
      <c r="E64" s="5">
        <v>1.11</v>
      </c>
      <c r="F64" s="5" t="s">
        <v>583</v>
      </c>
    </row>
    <row r="65" ht="15.75" customHeight="1">
      <c r="A65" s="6" t="s">
        <v>579</v>
      </c>
      <c r="B65" s="6" t="s">
        <v>584</v>
      </c>
      <c r="C65" s="6" t="s">
        <v>585</v>
      </c>
      <c r="D65" s="6">
        <v>7836.0</v>
      </c>
      <c r="E65" s="6">
        <v>1.04</v>
      </c>
      <c r="F65" s="6" t="s">
        <v>586</v>
      </c>
    </row>
    <row r="66" ht="15.75" customHeight="1">
      <c r="A66" s="5" t="s">
        <v>587</v>
      </c>
      <c r="B66" s="5" t="s">
        <v>588</v>
      </c>
      <c r="C66" s="5" t="s">
        <v>589</v>
      </c>
      <c r="D66" s="5">
        <v>12398.0</v>
      </c>
      <c r="E66" s="5">
        <v>1.65</v>
      </c>
      <c r="F66" s="5" t="s">
        <v>590</v>
      </c>
    </row>
    <row r="67" ht="15.75" customHeight="1">
      <c r="A67" s="6" t="s">
        <v>591</v>
      </c>
      <c r="B67" s="6" t="s">
        <v>592</v>
      </c>
      <c r="C67" s="6" t="s">
        <v>594</v>
      </c>
      <c r="D67" s="6">
        <v>7502.0</v>
      </c>
      <c r="E67" s="6">
        <v>1.0</v>
      </c>
      <c r="F67" s="6" t="s">
        <v>596</v>
      </c>
    </row>
    <row r="68" ht="15.75" customHeight="1">
      <c r="A68" s="5" t="s">
        <v>597</v>
      </c>
      <c r="B68" s="5" t="s">
        <v>598</v>
      </c>
      <c r="C68" s="5" t="s">
        <v>599</v>
      </c>
      <c r="D68" s="5">
        <v>4033.0</v>
      </c>
      <c r="E68" s="5">
        <v>0.54</v>
      </c>
      <c r="F68" s="5" t="s">
        <v>602</v>
      </c>
    </row>
    <row r="69" ht="15.75" customHeight="1">
      <c r="A69" s="6" t="s">
        <v>511</v>
      </c>
      <c r="B69" s="6" t="s">
        <v>604</v>
      </c>
      <c r="C69" s="6" t="s">
        <v>606</v>
      </c>
      <c r="D69" s="6">
        <v>7780.0</v>
      </c>
      <c r="E69" s="6">
        <v>1.04</v>
      </c>
      <c r="F69" s="6" t="s">
        <v>608</v>
      </c>
    </row>
    <row r="70" ht="15.75" customHeight="1">
      <c r="A70" s="5" t="s">
        <v>610</v>
      </c>
      <c r="B70" s="5" t="s">
        <v>611</v>
      </c>
      <c r="C70" s="5" t="s">
        <v>613</v>
      </c>
      <c r="D70" s="5">
        <v>6452.0</v>
      </c>
      <c r="E70" s="5">
        <v>0.86</v>
      </c>
      <c r="F70" s="5" t="s">
        <v>614</v>
      </c>
    </row>
    <row r="71" ht="15.75" customHeight="1">
      <c r="A71" s="6" t="s">
        <v>515</v>
      </c>
      <c r="B71" s="6" t="s">
        <v>615</v>
      </c>
      <c r="C71" s="6" t="s">
        <v>616</v>
      </c>
      <c r="D71" s="6">
        <v>7327.0</v>
      </c>
      <c r="E71" s="6">
        <v>0.98</v>
      </c>
      <c r="F71" s="6" t="s">
        <v>617</v>
      </c>
    </row>
    <row r="72" ht="15.75" customHeight="1">
      <c r="A72" s="5" t="s">
        <v>565</v>
      </c>
      <c r="B72" s="5" t="s">
        <v>618</v>
      </c>
      <c r="C72" s="5" t="s">
        <v>619</v>
      </c>
      <c r="D72" s="5">
        <v>7024.0</v>
      </c>
      <c r="E72" s="5">
        <v>0.94</v>
      </c>
      <c r="F72" s="5" t="s">
        <v>620</v>
      </c>
    </row>
    <row r="73" ht="15.75" customHeight="1">
      <c r="A73" s="6" t="s">
        <v>621</v>
      </c>
      <c r="B73" s="6" t="s">
        <v>622</v>
      </c>
      <c r="C73" s="6" t="s">
        <v>624</v>
      </c>
      <c r="D73" s="6">
        <v>7529.0</v>
      </c>
      <c r="E73" s="6">
        <v>1.0</v>
      </c>
      <c r="F73" s="6" t="s">
        <v>625</v>
      </c>
    </row>
    <row r="74" ht="15.75" customHeight="1">
      <c r="A74" s="5" t="s">
        <v>626</v>
      </c>
      <c r="B74" s="5" t="s">
        <v>627</v>
      </c>
      <c r="C74" s="5" t="s">
        <v>628</v>
      </c>
      <c r="D74" s="5">
        <v>5240.0</v>
      </c>
      <c r="E74" s="5">
        <v>0.7</v>
      </c>
      <c r="F74" s="5" t="s">
        <v>629</v>
      </c>
    </row>
    <row r="75" ht="15.75" customHeight="1">
      <c r="A75" s="6" t="s">
        <v>630</v>
      </c>
      <c r="B75" s="6" t="s">
        <v>631</v>
      </c>
      <c r="C75" s="6" t="s">
        <v>632</v>
      </c>
      <c r="D75" s="6">
        <v>11989.0</v>
      </c>
      <c r="E75" s="6">
        <v>1.6</v>
      </c>
      <c r="F75" s="6" t="s">
        <v>633</v>
      </c>
    </row>
    <row r="76" ht="15.75" customHeight="1">
      <c r="A76" s="5" t="s">
        <v>634</v>
      </c>
      <c r="B76" s="5" t="s">
        <v>635</v>
      </c>
      <c r="C76" s="5" t="s">
        <v>636</v>
      </c>
      <c r="D76" s="5">
        <v>4973.0</v>
      </c>
      <c r="E76" s="5">
        <v>0.66</v>
      </c>
      <c r="F76" s="5" t="s">
        <v>637</v>
      </c>
    </row>
    <row r="77" ht="15.75" customHeight="1">
      <c r="A77" s="5"/>
      <c r="B77" s="5" t="s">
        <v>638</v>
      </c>
    </row>
    <row r="78" ht="15.75" customHeight="1">
      <c r="A78" s="5"/>
      <c r="B78" s="5" t="s">
        <v>639</v>
      </c>
    </row>
    <row r="79" ht="15.75" customHeight="1">
      <c r="A79" s="5"/>
      <c r="B79" s="5" t="s">
        <v>640</v>
      </c>
    </row>
    <row r="80" ht="15.75" customHeight="1">
      <c r="A80" s="5"/>
      <c r="B80" s="5" t="s">
        <v>641</v>
      </c>
    </row>
    <row r="81" ht="15.75" customHeight="1">
      <c r="A81" s="5"/>
      <c r="B81" s="5" t="s">
        <v>642</v>
      </c>
    </row>
    <row r="82" ht="15.75" customHeight="1">
      <c r="A82" s="5"/>
      <c r="B82" s="5" t="s">
        <v>643</v>
      </c>
    </row>
    <row r="83" ht="15.75" customHeight="1">
      <c r="A83" s="5"/>
      <c r="B83" s="5" t="s">
        <v>644</v>
      </c>
    </row>
    <row r="84" ht="15.75" customHeight="1">
      <c r="A84" s="5"/>
      <c r="B84" s="5" t="s">
        <v>645</v>
      </c>
    </row>
    <row r="85" ht="15.75" customHeight="1">
      <c r="A85" s="5"/>
      <c r="B85" s="5" t="s">
        <v>647</v>
      </c>
    </row>
    <row r="86" ht="15.75" customHeight="1"/>
    <row r="87" ht="15.75" customHeight="1">
      <c r="A87" s="12" t="s">
        <v>649</v>
      </c>
      <c r="B87" s="3"/>
      <c r="C87" s="3"/>
      <c r="D87" s="3"/>
      <c r="E87" s="3"/>
      <c r="F87" s="3"/>
      <c r="G87" s="3"/>
      <c r="H87" s="3"/>
      <c r="I87" s="3"/>
      <c r="J87" s="2"/>
    </row>
    <row r="88" ht="15.75" customHeight="1">
      <c r="A88" s="5"/>
      <c r="B88" s="16" t="s">
        <v>658</v>
      </c>
      <c r="C88" s="17"/>
      <c r="D88" s="17"/>
      <c r="E88" s="17"/>
      <c r="F88" s="17"/>
      <c r="G88" s="17"/>
      <c r="H88" s="17"/>
      <c r="I88" s="17"/>
      <c r="J88" s="18"/>
    </row>
    <row r="89" ht="15.75" customHeight="1">
      <c r="A89" s="5"/>
      <c r="B89" s="16" t="s">
        <v>668</v>
      </c>
      <c r="C89" s="17"/>
      <c r="D89" s="17"/>
      <c r="E89" s="17"/>
      <c r="F89" s="17"/>
      <c r="G89" s="17"/>
      <c r="H89" s="17"/>
      <c r="I89" s="17"/>
      <c r="J89" s="18"/>
    </row>
    <row r="90" ht="15.75" customHeight="1">
      <c r="A90" s="5"/>
      <c r="B90" s="16" t="s">
        <v>670</v>
      </c>
      <c r="C90" s="17"/>
      <c r="D90" s="17"/>
      <c r="E90" s="17"/>
      <c r="F90" s="17"/>
      <c r="G90" s="17"/>
      <c r="H90" s="17"/>
      <c r="I90" s="17"/>
      <c r="J90" s="18"/>
    </row>
    <row r="91" ht="15.75" customHeight="1">
      <c r="A91" s="5"/>
      <c r="B91" s="16" t="s">
        <v>671</v>
      </c>
      <c r="C91" s="17"/>
      <c r="D91" s="17"/>
      <c r="E91" s="17"/>
      <c r="F91" s="17"/>
      <c r="G91" s="17"/>
      <c r="H91" s="17"/>
      <c r="I91" s="17"/>
      <c r="J91" s="18"/>
    </row>
    <row r="92" ht="15.75" customHeight="1">
      <c r="A92" s="5"/>
      <c r="B92" s="16" t="s">
        <v>672</v>
      </c>
      <c r="C92" s="17"/>
      <c r="D92" s="17"/>
      <c r="E92" s="17"/>
      <c r="F92" s="17"/>
      <c r="G92" s="17"/>
      <c r="H92" s="17"/>
      <c r="I92" s="17"/>
      <c r="J92" s="18"/>
    </row>
    <row r="93" ht="15.75" customHeight="1">
      <c r="A93" s="5"/>
      <c r="B93" s="16" t="s">
        <v>678</v>
      </c>
      <c r="C93" s="17"/>
      <c r="D93" s="17"/>
      <c r="E93" s="17"/>
      <c r="F93" s="17"/>
      <c r="G93" s="17"/>
      <c r="H93" s="17"/>
      <c r="I93" s="17"/>
      <c r="J93" s="18"/>
    </row>
    <row r="94" ht="15.75" customHeight="1">
      <c r="A94" s="5"/>
      <c r="B94" s="16" t="s">
        <v>685</v>
      </c>
      <c r="C94" s="17"/>
      <c r="D94" s="17"/>
      <c r="E94" s="17"/>
      <c r="F94" s="17"/>
      <c r="G94" s="17"/>
      <c r="H94" s="17"/>
      <c r="I94" s="17"/>
      <c r="J94" s="18"/>
    </row>
    <row r="95" ht="15.75" customHeight="1">
      <c r="A95" s="5"/>
      <c r="B95" s="16" t="s">
        <v>693</v>
      </c>
      <c r="C95" s="17"/>
      <c r="D95" s="17"/>
      <c r="E95" s="17"/>
      <c r="F95" s="17"/>
      <c r="G95" s="17"/>
      <c r="H95" s="17"/>
      <c r="I95" s="17"/>
      <c r="J95" s="18"/>
    </row>
    <row r="96" ht="15.75" customHeight="1">
      <c r="A96" s="5"/>
      <c r="B96" s="16" t="s">
        <v>699</v>
      </c>
      <c r="C96" s="17"/>
      <c r="D96" s="17"/>
      <c r="E96" s="17"/>
      <c r="F96" s="17"/>
      <c r="G96" s="17"/>
      <c r="H96" s="17"/>
      <c r="I96" s="17"/>
      <c r="J96" s="18"/>
    </row>
    <row r="97" ht="15.75" customHeight="1">
      <c r="A97" s="5"/>
      <c r="B97" s="16" t="s">
        <v>704</v>
      </c>
      <c r="C97" s="17"/>
      <c r="D97" s="17"/>
      <c r="E97" s="17"/>
      <c r="F97" s="17"/>
      <c r="G97" s="17"/>
      <c r="H97" s="17"/>
      <c r="I97" s="17"/>
      <c r="J97" s="18"/>
    </row>
    <row r="98" ht="15.75" customHeight="1">
      <c r="A98" s="5"/>
      <c r="B98" s="16" t="s">
        <v>705</v>
      </c>
      <c r="C98" s="17"/>
      <c r="D98" s="17"/>
      <c r="E98" s="17"/>
      <c r="F98" s="17"/>
      <c r="G98" s="17"/>
      <c r="H98" s="17"/>
      <c r="I98" s="17"/>
      <c r="J98" s="18"/>
    </row>
    <row r="99" ht="15.75" customHeight="1">
      <c r="A99" s="5"/>
      <c r="B99" s="16" t="s">
        <v>711</v>
      </c>
      <c r="C99" s="17"/>
      <c r="D99" s="17"/>
      <c r="E99" s="17"/>
      <c r="F99" s="17"/>
      <c r="G99" s="17"/>
      <c r="H99" s="17"/>
      <c r="I99" s="17"/>
      <c r="J99" s="18"/>
    </row>
    <row r="100" ht="15.75" customHeight="1">
      <c r="A100" s="5"/>
      <c r="B100" s="16" t="s">
        <v>716</v>
      </c>
      <c r="C100" s="17"/>
      <c r="D100" s="17"/>
      <c r="E100" s="17"/>
      <c r="F100" s="17"/>
      <c r="G100" s="17"/>
      <c r="H100" s="17"/>
      <c r="I100" s="17"/>
      <c r="J100" s="18"/>
    </row>
    <row r="101" ht="15.75" customHeight="1">
      <c r="A101" s="5"/>
      <c r="B101" s="16" t="s">
        <v>717</v>
      </c>
      <c r="C101" s="17"/>
      <c r="D101" s="17"/>
      <c r="E101" s="17"/>
      <c r="F101" s="17"/>
      <c r="G101" s="17"/>
      <c r="H101" s="17"/>
      <c r="I101" s="17"/>
      <c r="J101" s="18"/>
    </row>
    <row r="102" ht="15.75" customHeight="1">
      <c r="A102" s="5"/>
      <c r="B102" s="16" t="s">
        <v>723</v>
      </c>
      <c r="C102" s="17"/>
      <c r="D102" s="17"/>
      <c r="E102" s="17"/>
      <c r="F102" s="17"/>
      <c r="G102" s="17"/>
      <c r="H102" s="17"/>
      <c r="I102" s="17"/>
      <c r="J102" s="18"/>
    </row>
    <row r="103" ht="15.75" customHeight="1">
      <c r="A103" s="5"/>
      <c r="B103" s="16" t="s">
        <v>728</v>
      </c>
      <c r="C103" s="17"/>
      <c r="D103" s="17"/>
      <c r="E103" s="17"/>
      <c r="F103" s="17"/>
      <c r="G103" s="17"/>
      <c r="H103" s="17"/>
      <c r="I103" s="17"/>
      <c r="J103" s="18"/>
    </row>
    <row r="104" ht="15.75" customHeight="1">
      <c r="A104" s="5"/>
      <c r="B104" s="16" t="s">
        <v>729</v>
      </c>
      <c r="C104" s="17"/>
      <c r="D104" s="17"/>
      <c r="E104" s="17"/>
      <c r="F104" s="17"/>
      <c r="G104" s="17"/>
      <c r="H104" s="17"/>
      <c r="I104" s="17"/>
      <c r="J104" s="18"/>
    </row>
    <row r="105" ht="15.75" customHeight="1">
      <c r="A105" s="5"/>
      <c r="B105" s="16" t="s">
        <v>739</v>
      </c>
      <c r="C105" s="17"/>
      <c r="D105" s="17"/>
      <c r="E105" s="17"/>
      <c r="F105" s="17"/>
      <c r="G105" s="17"/>
      <c r="H105" s="17"/>
      <c r="I105" s="17"/>
      <c r="J105" s="18"/>
    </row>
    <row r="106" ht="15.75" customHeight="1">
      <c r="A106" s="5"/>
      <c r="B106" s="16" t="s">
        <v>740</v>
      </c>
      <c r="C106" s="17"/>
      <c r="D106" s="17"/>
      <c r="E106" s="17"/>
      <c r="F106" s="17"/>
      <c r="G106" s="17"/>
      <c r="H106" s="17"/>
      <c r="I106" s="17"/>
      <c r="J106" s="18"/>
    </row>
    <row r="107" ht="15.75" customHeight="1">
      <c r="A107" s="5"/>
      <c r="B107" s="16" t="s">
        <v>746</v>
      </c>
      <c r="C107" s="17"/>
      <c r="D107" s="17"/>
      <c r="E107" s="17"/>
      <c r="F107" s="17"/>
      <c r="G107" s="17"/>
      <c r="H107" s="17"/>
      <c r="I107" s="17"/>
      <c r="J107" s="18"/>
    </row>
    <row r="108" ht="15.75" customHeight="1">
      <c r="A108" s="5"/>
      <c r="B108" s="16" t="s">
        <v>752</v>
      </c>
      <c r="C108" s="17"/>
      <c r="D108" s="17"/>
      <c r="E108" s="17"/>
      <c r="F108" s="17"/>
      <c r="G108" s="17"/>
      <c r="H108" s="17"/>
      <c r="I108" s="17"/>
      <c r="J108" s="18"/>
    </row>
    <row r="109" ht="15.75" customHeight="1">
      <c r="A109" s="5"/>
      <c r="B109" s="16" t="s">
        <v>759</v>
      </c>
      <c r="C109" s="17"/>
      <c r="D109" s="17"/>
      <c r="E109" s="17"/>
      <c r="F109" s="17"/>
      <c r="G109" s="17"/>
      <c r="H109" s="17"/>
      <c r="I109" s="17"/>
      <c r="J109" s="18"/>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J1"/>
    <mergeCell ref="A14:J14"/>
    <mergeCell ref="A26:J26"/>
    <mergeCell ref="A87:J87"/>
    <mergeCell ref="B88:J88"/>
    <mergeCell ref="B89:J89"/>
    <mergeCell ref="B90:J90"/>
    <mergeCell ref="B91:J91"/>
    <mergeCell ref="B92:J92"/>
    <mergeCell ref="B93:J93"/>
    <mergeCell ref="B94:J94"/>
    <mergeCell ref="B95:J95"/>
    <mergeCell ref="B96:J96"/>
    <mergeCell ref="B97:J97"/>
    <mergeCell ref="B105:J105"/>
    <mergeCell ref="B106:J106"/>
    <mergeCell ref="B107:J107"/>
    <mergeCell ref="B108:J108"/>
    <mergeCell ref="B109:J109"/>
    <mergeCell ref="B98:J98"/>
    <mergeCell ref="B99:J99"/>
    <mergeCell ref="B100:J100"/>
    <mergeCell ref="B101:J101"/>
    <mergeCell ref="B102:J102"/>
    <mergeCell ref="B103:J103"/>
    <mergeCell ref="B104:J10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3" width="40.0"/>
    <col customWidth="1" min="4" max="4" width="30.0"/>
    <col customWidth="1" min="5" max="5" width="32.0"/>
    <col customWidth="1" min="6" max="6" width="14.0"/>
    <col customWidth="1" min="7" max="8" width="12.0"/>
    <col customWidth="1" min="9" max="9" width="8.0"/>
    <col customWidth="1" min="10" max="10" width="34.0"/>
    <col customWidth="1" min="11" max="26" width="8.71"/>
  </cols>
  <sheetData>
    <row r="1" ht="27.75" customHeight="1">
      <c r="A1" s="1" t="s">
        <v>3</v>
      </c>
      <c r="B1" s="3"/>
      <c r="C1" s="3"/>
      <c r="D1" s="3"/>
      <c r="E1" s="3"/>
      <c r="F1" s="3"/>
      <c r="G1" s="3"/>
      <c r="H1" s="3"/>
      <c r="I1" s="3"/>
      <c r="J1" s="2"/>
    </row>
    <row r="2">
      <c r="A2" s="4" t="s">
        <v>51</v>
      </c>
      <c r="B2" s="4" t="s">
        <v>59</v>
      </c>
      <c r="C2" s="4" t="s">
        <v>65</v>
      </c>
      <c r="D2" s="4" t="s">
        <v>71</v>
      </c>
      <c r="E2" s="4" t="s">
        <v>76</v>
      </c>
      <c r="F2" s="4" t="s">
        <v>85</v>
      </c>
      <c r="G2" s="4" t="s">
        <v>90</v>
      </c>
      <c r="H2" s="4" t="s">
        <v>94</v>
      </c>
      <c r="I2" s="4" t="s">
        <v>98</v>
      </c>
      <c r="J2" s="4" t="s">
        <v>103</v>
      </c>
    </row>
    <row r="3">
      <c r="A3" s="5" t="s">
        <v>113</v>
      </c>
      <c r="B3" s="5" t="s">
        <v>118</v>
      </c>
      <c r="C3" s="5" t="s">
        <v>121</v>
      </c>
      <c r="D3" s="5" t="s">
        <v>124</v>
      </c>
      <c r="E3" s="5" t="s">
        <v>128</v>
      </c>
      <c r="F3" s="5" t="s">
        <v>131</v>
      </c>
      <c r="G3" s="5" t="s">
        <v>136</v>
      </c>
      <c r="H3" s="5" t="s">
        <v>139</v>
      </c>
      <c r="I3" s="5" t="s">
        <v>141</v>
      </c>
      <c r="J3" s="5" t="s">
        <v>144</v>
      </c>
    </row>
    <row r="4">
      <c r="A4" s="6" t="s">
        <v>152</v>
      </c>
      <c r="B4" s="6" t="s">
        <v>156</v>
      </c>
      <c r="C4" s="6" t="s">
        <v>159</v>
      </c>
      <c r="D4" s="6" t="s">
        <v>162</v>
      </c>
      <c r="E4" s="6" t="s">
        <v>165</v>
      </c>
      <c r="F4" s="6" t="s">
        <v>131</v>
      </c>
      <c r="G4" s="6" t="s">
        <v>136</v>
      </c>
      <c r="H4" s="6" t="s">
        <v>139</v>
      </c>
      <c r="I4" s="6" t="s">
        <v>141</v>
      </c>
      <c r="J4" s="6" t="s">
        <v>174</v>
      </c>
    </row>
    <row r="5">
      <c r="A5" s="5" t="s">
        <v>176</v>
      </c>
      <c r="B5" s="5" t="s">
        <v>179</v>
      </c>
      <c r="C5" s="5" t="s">
        <v>180</v>
      </c>
      <c r="D5" s="5" t="s">
        <v>182</v>
      </c>
      <c r="E5" s="5" t="s">
        <v>184</v>
      </c>
      <c r="F5" s="5" t="s">
        <v>186</v>
      </c>
      <c r="G5" s="5" t="s">
        <v>136</v>
      </c>
      <c r="H5" s="5" t="s">
        <v>188</v>
      </c>
      <c r="I5" s="5" t="s">
        <v>141</v>
      </c>
      <c r="J5" s="5" t="s">
        <v>190</v>
      </c>
    </row>
    <row r="6">
      <c r="A6" s="6" t="s">
        <v>192</v>
      </c>
      <c r="B6" s="6" t="s">
        <v>194</v>
      </c>
      <c r="C6" s="6" t="s">
        <v>195</v>
      </c>
      <c r="D6" s="6" t="s">
        <v>198</v>
      </c>
      <c r="E6" s="6" t="s">
        <v>200</v>
      </c>
      <c r="F6" s="6" t="s">
        <v>186</v>
      </c>
      <c r="G6" s="6" t="s">
        <v>136</v>
      </c>
      <c r="H6" s="6" t="s">
        <v>139</v>
      </c>
      <c r="I6" s="6" t="s">
        <v>204</v>
      </c>
      <c r="J6" s="6" t="s">
        <v>206</v>
      </c>
    </row>
    <row r="7">
      <c r="A7" s="5" t="s">
        <v>207</v>
      </c>
      <c r="B7" s="5" t="s">
        <v>210</v>
      </c>
      <c r="C7" s="5" t="s">
        <v>212</v>
      </c>
      <c r="D7" s="5" t="s">
        <v>214</v>
      </c>
      <c r="E7" s="5" t="s">
        <v>217</v>
      </c>
      <c r="F7" s="5" t="s">
        <v>186</v>
      </c>
      <c r="G7" s="5" t="s">
        <v>136</v>
      </c>
      <c r="H7" s="5" t="s">
        <v>221</v>
      </c>
      <c r="I7" s="5" t="s">
        <v>204</v>
      </c>
      <c r="J7" s="5" t="s">
        <v>224</v>
      </c>
    </row>
    <row r="8">
      <c r="A8" s="6" t="s">
        <v>225</v>
      </c>
      <c r="B8" s="6" t="s">
        <v>227</v>
      </c>
      <c r="C8" s="6" t="s">
        <v>229</v>
      </c>
      <c r="D8" s="6" t="s">
        <v>231</v>
      </c>
      <c r="E8" s="6" t="s">
        <v>233</v>
      </c>
      <c r="F8" s="6" t="s">
        <v>234</v>
      </c>
      <c r="G8" s="6" t="s">
        <v>236</v>
      </c>
      <c r="H8" s="6" t="s">
        <v>221</v>
      </c>
      <c r="I8" s="6" t="s">
        <v>204</v>
      </c>
      <c r="J8" s="6" t="s">
        <v>239</v>
      </c>
    </row>
    <row r="9">
      <c r="A9" s="5" t="s">
        <v>241</v>
      </c>
      <c r="B9" s="5" t="s">
        <v>243</v>
      </c>
      <c r="C9" s="5" t="s">
        <v>244</v>
      </c>
      <c r="D9" s="5" t="s">
        <v>245</v>
      </c>
      <c r="E9" s="5" t="s">
        <v>246</v>
      </c>
      <c r="F9" s="5" t="s">
        <v>249</v>
      </c>
      <c r="G9" s="5" t="s">
        <v>136</v>
      </c>
      <c r="H9" s="5" t="s">
        <v>221</v>
      </c>
      <c r="I9" s="5" t="s">
        <v>141</v>
      </c>
      <c r="J9" s="5" t="s">
        <v>252</v>
      </c>
    </row>
    <row r="10">
      <c r="A10" s="6" t="s">
        <v>253</v>
      </c>
      <c r="B10" s="6" t="s">
        <v>255</v>
      </c>
      <c r="C10" s="6" t="s">
        <v>256</v>
      </c>
      <c r="D10" s="6" t="s">
        <v>258</v>
      </c>
      <c r="E10" s="6" t="s">
        <v>259</v>
      </c>
      <c r="F10" s="6" t="s">
        <v>261</v>
      </c>
      <c r="G10" s="6" t="s">
        <v>136</v>
      </c>
      <c r="H10" s="6" t="s">
        <v>188</v>
      </c>
      <c r="I10" s="6" t="s">
        <v>141</v>
      </c>
      <c r="J10" s="6" t="s">
        <v>263</v>
      </c>
    </row>
    <row r="11">
      <c r="A11" s="5" t="s">
        <v>264</v>
      </c>
      <c r="B11" s="5" t="s">
        <v>265</v>
      </c>
      <c r="C11" s="5" t="s">
        <v>267</v>
      </c>
      <c r="D11" s="5" t="s">
        <v>268</v>
      </c>
      <c r="E11" s="5" t="s">
        <v>269</v>
      </c>
      <c r="F11" s="5" t="s">
        <v>271</v>
      </c>
      <c r="G11" s="5" t="s">
        <v>136</v>
      </c>
      <c r="H11" s="5" t="s">
        <v>221</v>
      </c>
      <c r="I11" s="5" t="s">
        <v>141</v>
      </c>
      <c r="J11" s="5" t="s">
        <v>274</v>
      </c>
    </row>
    <row r="12">
      <c r="A12" s="6" t="s">
        <v>275</v>
      </c>
      <c r="B12" s="6" t="s">
        <v>277</v>
      </c>
      <c r="C12" s="6" t="s">
        <v>278</v>
      </c>
      <c r="D12" s="6" t="s">
        <v>280</v>
      </c>
      <c r="E12" s="6" t="s">
        <v>282</v>
      </c>
      <c r="F12" s="6" t="s">
        <v>283</v>
      </c>
      <c r="G12" s="6" t="s">
        <v>136</v>
      </c>
      <c r="H12" s="6" t="s">
        <v>139</v>
      </c>
      <c r="I12" s="6" t="s">
        <v>204</v>
      </c>
      <c r="J12" s="6" t="s">
        <v>288</v>
      </c>
    </row>
    <row r="13">
      <c r="A13" s="5" t="s">
        <v>289</v>
      </c>
      <c r="B13" s="5" t="s">
        <v>291</v>
      </c>
      <c r="C13" s="5" t="s">
        <v>292</v>
      </c>
      <c r="D13" s="5" t="s">
        <v>293</v>
      </c>
      <c r="E13" s="5" t="s">
        <v>295</v>
      </c>
      <c r="F13" s="5" t="s">
        <v>296</v>
      </c>
      <c r="G13" s="5" t="s">
        <v>236</v>
      </c>
      <c r="H13" s="5" t="s">
        <v>139</v>
      </c>
      <c r="I13" s="5" t="s">
        <v>204</v>
      </c>
      <c r="J13" s="5" t="s">
        <v>299</v>
      </c>
    </row>
    <row r="14">
      <c r="A14" s="6" t="s">
        <v>300</v>
      </c>
      <c r="B14" s="6" t="s">
        <v>302</v>
      </c>
      <c r="C14" s="6" t="s">
        <v>303</v>
      </c>
      <c r="D14" s="6" t="s">
        <v>304</v>
      </c>
      <c r="E14" s="6" t="s">
        <v>305</v>
      </c>
      <c r="F14" s="6" t="s">
        <v>307</v>
      </c>
      <c r="G14" s="6" t="s">
        <v>136</v>
      </c>
      <c r="H14" s="6" t="s">
        <v>188</v>
      </c>
      <c r="I14" s="6" t="s">
        <v>141</v>
      </c>
      <c r="J14" s="6" t="s">
        <v>309</v>
      </c>
    </row>
    <row r="15">
      <c r="A15" s="5" t="s">
        <v>310</v>
      </c>
      <c r="B15" s="5" t="s">
        <v>312</v>
      </c>
      <c r="C15" s="5" t="s">
        <v>315</v>
      </c>
      <c r="D15" s="5" t="s">
        <v>316</v>
      </c>
      <c r="E15" s="5" t="s">
        <v>317</v>
      </c>
      <c r="F15" s="5" t="s">
        <v>318</v>
      </c>
      <c r="G15" s="5" t="s">
        <v>236</v>
      </c>
      <c r="H15" s="5" t="s">
        <v>221</v>
      </c>
      <c r="I15" s="5" t="s">
        <v>204</v>
      </c>
      <c r="J15" s="5" t="s">
        <v>321</v>
      </c>
    </row>
    <row r="16">
      <c r="A16" s="6" t="s">
        <v>323</v>
      </c>
      <c r="B16" s="6" t="s">
        <v>325</v>
      </c>
      <c r="C16" s="6" t="s">
        <v>327</v>
      </c>
      <c r="D16" s="6" t="s">
        <v>328</v>
      </c>
      <c r="E16" s="6" t="s">
        <v>331</v>
      </c>
      <c r="F16" s="6" t="s">
        <v>249</v>
      </c>
      <c r="G16" s="6" t="s">
        <v>136</v>
      </c>
      <c r="H16" s="6" t="s">
        <v>221</v>
      </c>
      <c r="I16" s="6" t="s">
        <v>141</v>
      </c>
      <c r="J16" s="6" t="s">
        <v>332</v>
      </c>
    </row>
    <row r="17">
      <c r="A17" s="5" t="s">
        <v>334</v>
      </c>
      <c r="B17" s="5" t="s">
        <v>335</v>
      </c>
      <c r="C17" s="5" t="s">
        <v>336</v>
      </c>
      <c r="D17" s="5" t="s">
        <v>338</v>
      </c>
      <c r="E17" s="5" t="s">
        <v>339</v>
      </c>
      <c r="F17" s="5" t="s">
        <v>340</v>
      </c>
      <c r="G17" s="5" t="s">
        <v>136</v>
      </c>
      <c r="H17" s="5" t="s">
        <v>188</v>
      </c>
      <c r="I17" s="5" t="s">
        <v>141</v>
      </c>
      <c r="J17" s="5" t="s">
        <v>341</v>
      </c>
    </row>
    <row r="18">
      <c r="A18" s="6" t="s">
        <v>342</v>
      </c>
      <c r="B18" s="6" t="s">
        <v>343</v>
      </c>
      <c r="C18" s="6" t="s">
        <v>344</v>
      </c>
      <c r="D18" s="6" t="s">
        <v>346</v>
      </c>
      <c r="E18" s="6" t="s">
        <v>347</v>
      </c>
      <c r="F18" s="6" t="s">
        <v>234</v>
      </c>
      <c r="G18" s="6" t="s">
        <v>236</v>
      </c>
      <c r="H18" s="6" t="s">
        <v>188</v>
      </c>
      <c r="I18" s="6" t="s">
        <v>204</v>
      </c>
      <c r="J18" s="6" t="s">
        <v>355</v>
      </c>
    </row>
    <row r="19">
      <c r="A19" s="5" t="s">
        <v>356</v>
      </c>
      <c r="B19" s="5" t="s">
        <v>358</v>
      </c>
      <c r="C19" s="5" t="s">
        <v>359</v>
      </c>
      <c r="D19" s="5" t="s">
        <v>360</v>
      </c>
      <c r="E19" s="5" t="s">
        <v>363</v>
      </c>
      <c r="F19" s="5" t="s">
        <v>131</v>
      </c>
      <c r="G19" s="5" t="s">
        <v>236</v>
      </c>
      <c r="H19" s="5" t="s">
        <v>221</v>
      </c>
      <c r="I19" s="5" t="s">
        <v>204</v>
      </c>
      <c r="J19" s="5" t="s">
        <v>364</v>
      </c>
    </row>
    <row r="20">
      <c r="A20" s="6" t="s">
        <v>365</v>
      </c>
      <c r="B20" s="6" t="s">
        <v>366</v>
      </c>
      <c r="C20" s="6" t="s">
        <v>368</v>
      </c>
      <c r="D20" s="6" t="s">
        <v>369</v>
      </c>
      <c r="E20" s="6" t="s">
        <v>371</v>
      </c>
      <c r="F20" s="6" t="s">
        <v>249</v>
      </c>
      <c r="G20" s="6" t="s">
        <v>236</v>
      </c>
      <c r="H20" s="6" t="s">
        <v>373</v>
      </c>
      <c r="I20" s="6" t="s">
        <v>374</v>
      </c>
      <c r="J20" s="6" t="s">
        <v>375</v>
      </c>
    </row>
    <row r="21" ht="15.75" customHeight="1">
      <c r="A21" s="5" t="s">
        <v>376</v>
      </c>
      <c r="B21" s="5" t="s">
        <v>378</v>
      </c>
      <c r="C21" s="5" t="s">
        <v>379</v>
      </c>
      <c r="D21" s="5" t="s">
        <v>380</v>
      </c>
      <c r="E21" s="5" t="s">
        <v>382</v>
      </c>
      <c r="F21" s="5" t="s">
        <v>383</v>
      </c>
      <c r="G21" s="5" t="s">
        <v>136</v>
      </c>
      <c r="H21" s="5" t="s">
        <v>221</v>
      </c>
      <c r="I21" s="5" t="s">
        <v>374</v>
      </c>
      <c r="J21" s="5" t="s">
        <v>387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90.0"/>
    <col customWidth="1" min="3" max="26" width="8.71"/>
  </cols>
  <sheetData>
    <row r="1" ht="21.75" customHeight="1">
      <c r="A1" s="1" t="s">
        <v>0</v>
      </c>
      <c r="B1" s="2"/>
    </row>
    <row r="2">
      <c r="A2" s="4" t="s">
        <v>4</v>
      </c>
      <c r="B2" s="4" t="s">
        <v>5</v>
      </c>
    </row>
    <row r="3">
      <c r="A3" s="5" t="s">
        <v>6</v>
      </c>
      <c r="B3" s="5" t="s">
        <v>8</v>
      </c>
    </row>
    <row r="4">
      <c r="A4" s="6" t="s">
        <v>11</v>
      </c>
      <c r="B4" s="6" t="s">
        <v>18</v>
      </c>
    </row>
    <row r="5">
      <c r="A5" s="5" t="s">
        <v>20</v>
      </c>
      <c r="B5" s="5" t="s">
        <v>22</v>
      </c>
    </row>
    <row r="6">
      <c r="A6" s="6" t="s">
        <v>23</v>
      </c>
      <c r="B6" s="6" t="s">
        <v>24</v>
      </c>
    </row>
    <row r="7">
      <c r="A7" s="5" t="s">
        <v>26</v>
      </c>
      <c r="B7" s="5" t="s">
        <v>28</v>
      </c>
    </row>
    <row r="8">
      <c r="A8" s="6" t="s">
        <v>30</v>
      </c>
      <c r="B8" s="6" t="s">
        <v>32</v>
      </c>
    </row>
    <row r="9">
      <c r="A9" s="5" t="s">
        <v>35</v>
      </c>
      <c r="B9" s="5" t="s">
        <v>37</v>
      </c>
    </row>
    <row r="10">
      <c r="A10" s="6" t="s">
        <v>40</v>
      </c>
      <c r="B10" s="6" t="s">
        <v>41</v>
      </c>
    </row>
    <row r="11">
      <c r="A11" s="5" t="s">
        <v>43</v>
      </c>
      <c r="B11" s="5" t="s">
        <v>44</v>
      </c>
    </row>
    <row r="12">
      <c r="A12" s="6" t="s">
        <v>45</v>
      </c>
      <c r="B12" s="6" t="s">
        <v>47</v>
      </c>
    </row>
    <row r="13">
      <c r="A13" s="5" t="s">
        <v>48</v>
      </c>
      <c r="B13" s="5" t="s">
        <v>49</v>
      </c>
    </row>
    <row r="14">
      <c r="A14" s="6" t="s">
        <v>50</v>
      </c>
      <c r="B14" s="6" t="s">
        <v>52</v>
      </c>
    </row>
    <row r="15">
      <c r="A15" s="5" t="s">
        <v>53</v>
      </c>
      <c r="B15" s="5" t="s">
        <v>54</v>
      </c>
    </row>
    <row r="16">
      <c r="A16" s="6" t="s">
        <v>55</v>
      </c>
      <c r="B16" s="6" t="s">
        <v>57</v>
      </c>
    </row>
    <row r="17">
      <c r="A17" s="5" t="s">
        <v>61</v>
      </c>
      <c r="B17" s="5" t="s">
        <v>63</v>
      </c>
    </row>
    <row r="18">
      <c r="A18" s="6" t="s">
        <v>67</v>
      </c>
      <c r="B18" s="6" t="s">
        <v>69</v>
      </c>
    </row>
    <row r="19">
      <c r="A19" s="5" t="s">
        <v>73</v>
      </c>
      <c r="B19" s="5" t="s">
        <v>75</v>
      </c>
    </row>
    <row r="20">
      <c r="A20" s="6" t="s">
        <v>78</v>
      </c>
      <c r="B20" s="6" t="s">
        <v>80</v>
      </c>
    </row>
    <row r="21" ht="15.75" customHeight="1">
      <c r="A21" s="5" t="s">
        <v>84</v>
      </c>
      <c r="B21" s="5" t="s">
        <v>87</v>
      </c>
    </row>
    <row r="22" ht="15.75" customHeight="1">
      <c r="A22" s="6" t="s">
        <v>89</v>
      </c>
      <c r="B22" s="6" t="s">
        <v>91</v>
      </c>
    </row>
    <row r="23" ht="15.75" customHeight="1">
      <c r="A23" s="5" t="s">
        <v>95</v>
      </c>
      <c r="B23" s="5" t="s">
        <v>97</v>
      </c>
    </row>
    <row r="24" ht="15.75" customHeight="1">
      <c r="A24" s="6" t="s">
        <v>100</v>
      </c>
      <c r="B24" s="6" t="s">
        <v>102</v>
      </c>
    </row>
    <row r="25" ht="15.75" customHeight="1">
      <c r="A25" s="5" t="s">
        <v>106</v>
      </c>
      <c r="B25" s="5" t="s">
        <v>108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8.0"/>
    <col customWidth="1" min="6" max="26" width="8.71"/>
  </cols>
  <sheetData>
    <row r="1" ht="21.75" customHeight="1">
      <c r="A1" s="1" t="s">
        <v>451</v>
      </c>
      <c r="B1" s="3"/>
      <c r="C1" s="3"/>
      <c r="D1" s="3"/>
      <c r="E1" s="2"/>
    </row>
    <row r="2">
      <c r="A2" s="4" t="s">
        <v>9</v>
      </c>
      <c r="B2" s="4" t="s">
        <v>205</v>
      </c>
      <c r="C2" s="4" t="s">
        <v>90</v>
      </c>
      <c r="D2" s="4" t="s">
        <v>94</v>
      </c>
      <c r="E2" s="4" t="s">
        <v>222</v>
      </c>
    </row>
    <row r="3">
      <c r="A3" s="14" t="s">
        <v>27</v>
      </c>
      <c r="B3" s="14" t="s">
        <v>326</v>
      </c>
      <c r="C3" s="14" t="s">
        <v>136</v>
      </c>
      <c r="D3" s="14" t="s">
        <v>221</v>
      </c>
      <c r="E3" s="14" t="s">
        <v>361</v>
      </c>
    </row>
    <row r="4">
      <c r="A4" s="14" t="s">
        <v>126</v>
      </c>
      <c r="B4" s="14" t="s">
        <v>394</v>
      </c>
      <c r="C4" s="14" t="s">
        <v>236</v>
      </c>
      <c r="D4" s="14" t="s">
        <v>139</v>
      </c>
      <c r="E4" s="14" t="s">
        <v>475</v>
      </c>
    </row>
    <row r="5">
      <c r="A5" s="14" t="s">
        <v>169</v>
      </c>
      <c r="B5" s="14" t="s">
        <v>477</v>
      </c>
      <c r="D5" s="14" t="s">
        <v>188</v>
      </c>
      <c r="E5" s="14" t="s">
        <v>478</v>
      </c>
    </row>
    <row r="6">
      <c r="B6" s="14" t="s">
        <v>480</v>
      </c>
      <c r="D6" s="14" t="s">
        <v>373</v>
      </c>
      <c r="E6" s="14" t="s">
        <v>482</v>
      </c>
    </row>
    <row r="7">
      <c r="B7" s="14" t="s">
        <v>483</v>
      </c>
      <c r="E7" s="14" t="s">
        <v>484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